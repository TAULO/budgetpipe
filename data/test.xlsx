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xl/webextensions/taskpanes.xml" Type="http://schemas.microsoft.com/office/2011/relationships/webextensiontaskpanes"></Relationship><Relationship Id="rId1" Target="xl/workbook.xml" Type="http://schemas.openxmlformats.org/officeDocument/2006/relationships/officeDocument"></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taulo/GolandProjects/budgetpipe/data/"/>
    </mc:Choice>
  </mc:AlternateContent>
  <bookViews>
    <workbookView xWindow="14540" yWindow="8820" windowWidth="28800" windowHeight="174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9" i="1" l="true"/>
  <c r="J29" i="1"/>
  <c r="K29" i="1"/>
  <c r="H30" i="1"/>
  <c r="J30" i="1"/>
  <c r="K30" i="1"/>
  <c r="H31" i="1"/>
  <c r="J31" i="1"/>
  <c r="K31" i="1"/>
  <c r="G28" i="1"/>
  <c r="H28" i="1"/>
  <c r="I28" i="1"/>
  <c r="J28" i="1"/>
  <c r="L31" i="1"/>
  <c r="M31" i="1"/>
  <c r="L30" i="1"/>
  <c r="M30" i="1"/>
  <c r="K28" i="1"/>
  <c r="L28" i="1"/>
  <c r="M28" i="1"/>
  <c r="M29" i="1"/>
  <c r="L29" i="1"/>
  <c r="B29" i="1"/>
  <c r="P26" i="1"/>
  <c r="O26" i="1"/>
  <c r="N26" i="1"/>
  <c r="G24" i="1"/>
  <c r="N24" i="1" s="true"/>
  <c r="D24" i="1"/>
  <c r="G23" i="1"/>
  <c r="N23" i="1" s="true"/>
  <c r="H22" i="1"/>
  <c r="H29" i="1" s="true"/>
  <c r="G22" i="1"/>
  <c r="G29" i="1" s="true"/>
  <c r="F22" i="1"/>
  <c r="F29" i="1" s="true"/>
  <c r="E22" i="1"/>
  <c r="E29" i="1" s="true"/>
  <c r="D22" i="1"/>
  <c r="D29" i="1" s="true"/>
  <c r="C22" i="1"/>
  <c r="P20" i="1"/>
  <c r="O20" i="1"/>
  <c r="N20" i="1"/>
  <c r="P19" i="1"/>
  <c r="O19" i="1"/>
  <c r="N19" i="1"/>
  <c r="P18" i="1"/>
  <c r="O18" i="1"/>
  <c r="N18" i="1"/>
  <c r="P17" i="1"/>
  <c r="O17" i="1"/>
  <c r="N17" i="1"/>
  <c r="P16" i="1"/>
  <c r="O16" i="1"/>
  <c r="N16" i="1"/>
  <c r="F15" i="1"/>
  <c r="F28" i="1" s="true"/>
  <c r="E15" i="1"/>
  <c r="E28" i="1" s="true"/>
  <c r="D15" i="1"/>
  <c r="D28" i="1" s="true"/>
  <c r="C15" i="1"/>
  <c r="C28" i="1" s="true"/>
  <c r="B15" i="1"/>
  <c r="P14" i="1"/>
  <c r="O14" i="1"/>
  <c r="N14" i="1"/>
  <c r="P13" i="1"/>
  <c r="O13" i="1"/>
  <c r="N13" i="1"/>
  <c r="N12" i="1"/>
  <c r="G12" i="1"/>
  <c r="P11" i="1"/>
  <c r="O11" i="1"/>
  <c r="N11" i="1"/>
  <c r="P10" i="1"/>
  <c r="O10" i="1"/>
  <c r="N10" i="1"/>
  <c r="P9" i="1"/>
  <c r="O9" i="1"/>
  <c r="N9" i="1"/>
  <c r="P8" i="1"/>
  <c r="O8" i="1"/>
  <c r="N8" i="1"/>
  <c r="P7" i="1"/>
  <c r="O7" i="1"/>
  <c r="N7" i="1"/>
  <c r="P6" i="1"/>
  <c r="O6" i="1"/>
  <c r="N6" i="1"/>
  <c r="P5" i="1"/>
  <c r="O5" i="1"/>
  <c r="N5" i="1"/>
  <c r="P4" i="1"/>
  <c r="O4" i="1"/>
  <c r="N4" i="1"/>
  <c r="P3" i="1"/>
  <c r="O3" i="1"/>
  <c r="N3" i="1"/>
  <c r="P2" i="1"/>
  <c r="O2" i="1"/>
  <c r="N2" i="1"/>
  <c r="I30" i="1" l="true"/>
  <c r="I31" i="1"/>
  <c r="O24" i="1"/>
  <c r="P24" i="1"/>
  <c r="O23" i="1"/>
  <c r="P23" i="1"/>
  <c r="C29" i="1"/>
  <c r="N22" i="1"/>
  <c r="O22" i="1"/>
  <c r="P22" i="1"/>
  <c r="F30" i="1"/>
  <c r="F31" i="1"/>
  <c r="E31" i="1"/>
  <c r="E30" i="1"/>
  <c r="D30" i="1"/>
  <c r="D31" i="1"/>
  <c r="C30" i="1"/>
  <c r="C31" i="1"/>
  <c r="B28" i="1"/>
  <c r="N15" i="1"/>
  <c r="P15" i="1"/>
  <c r="O15" i="1"/>
  <c r="O12" i="1"/>
  <c r="P12" i="1"/>
  <c r="P29" i="1" l="true"/>
  <c r="N29" i="1"/>
  <c r="O29" i="1"/>
  <c r="O28" i="1"/>
  <c r="P28" i="1"/>
  <c r="B31" i="1"/>
  <c r="N28" i="1"/>
  <c r="B30" i="1"/>
  <c r="G31" i="1"/>
  <c r="G30" i="1"/>
  <c r="N31" i="1" l="true"/>
  <c r="O31" i="1"/>
  <c r="P31" i="1"/>
  <c r="N30" i="1"/>
  <c r="P30" i="1"/>
  <c r="O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 Taulo</author>
  </authors>
  <commentList>
    <comment ref="E11" authorId="0" shapeId="0" xr:uid="{8B976D25-671F-EC45-A967-BC5241952109}">
      <text>
        <r>
          <rPr>
            <sz val="10"/>
            <color rgb="FF000000"/>
            <rFont val="Tahoma"/>
            <family val="2"/>
          </rPr>
          <t>Stockholm</t>
        </r>
      </text>
    </comment>
    <comment ref="H11" authorId="0" shapeId="0" xr:uid="{FF3E0D81-FFEE-E84B-A901-E900EE0EEF3B}">
      <text>
        <r>
          <rPr>
            <sz val="10"/>
            <color rgb="FF000000"/>
            <rFont val="Tahoma"/>
            <family val="2"/>
          </rPr>
          <t>Ferie</t>
        </r>
      </text>
    </comment>
    <comment ref="C12" authorId="0" shapeId="0" xr:uid="{5DA8EA92-72DF-6146-9190-246E7646E345}">
      <text>
        <r>
          <rPr>
            <b/>
            <sz val="10"/>
            <color rgb="FF000000"/>
            <rFont val="Tahoma"/>
            <family val="2"/>
          </rPr>
          <t>Thomas Taulo:</t>
        </r>
        <r>
          <rPr>
            <sz val="10"/>
            <color rgb="FF000000"/>
            <rFont val="Tahoma"/>
            <family val="2"/>
          </rPr>
          <t xml:space="preserve">
</t>
        </r>
        <r>
          <rPr>
            <sz val="10"/>
            <color rgb="FF000000"/>
            <rFont val="Tahoma"/>
            <family val="2"/>
          </rPr>
          <t>Spising på Juliette (930 kr.)</t>
        </r>
      </text>
    </comment>
    <comment ref="E12" authorId="0" shapeId="0" xr:uid="{B9B2B388-4D44-8C4C-8FDB-9594EA46865D}">
      <text>
        <r>
          <rPr>
            <sz val="10"/>
            <color rgb="FF000000"/>
            <rFont val="Tahoma"/>
            <family val="2"/>
          </rPr>
          <t>Stockholm</t>
        </r>
      </text>
    </comment>
    <comment ref="G12" authorId="0" shapeId="0" xr:uid="{DB056263-780B-0149-97A7-A9B264FCF6D0}">
      <text>
        <r>
          <rPr>
            <sz val="10"/>
            <color rgb="FF000000"/>
            <rFont val="Tahoma"/>
            <family val="2"/>
          </rPr>
          <t>Ferie (Bruxells)</t>
        </r>
      </text>
    </comment>
    <comment ref="E13" authorId="0" shapeId="0" xr:uid="{14AB8788-C13A-6440-9C52-D83D55E21BB5}">
      <text>
        <r>
          <rPr>
            <sz val="10"/>
            <color rgb="FF000000"/>
            <rFont val="Tahoma"/>
            <family val="2"/>
          </rPr>
          <t>Stockholm</t>
        </r>
      </text>
    </comment>
    <comment ref="F13" authorId="0" shapeId="0" xr:uid="{F00B7027-694F-4F4B-91E3-7846CB619C21}">
      <text>
        <r>
          <rPr>
            <sz val="10"/>
            <color rgb="FF000000"/>
            <rFont val="Tahoma"/>
            <family val="2"/>
          </rPr>
          <t>Sverige</t>
        </r>
      </text>
    </comment>
    <comment ref="G13" authorId="0" shapeId="0" xr:uid="{9154546D-F99A-E243-BEDF-C57DED9F525A}">
      <text>
        <r>
          <rPr>
            <sz val="10"/>
            <color rgb="FF000000"/>
            <rFont val="Calibri"/>
            <family val="2"/>
          </rPr>
          <t>Ferie (Bruxells)</t>
        </r>
      </text>
    </comment>
    <comment ref="C14" authorId="0" shapeId="0" xr:uid="{C90E3F31-AD64-0542-9652-C1C6515692EA}">
      <text>
        <r>
          <rPr>
            <b/>
            <sz val="10"/>
            <color rgb="FF000000"/>
            <rFont val="Tahoma"/>
            <family val="2"/>
          </rPr>
          <t>Thomas Taulo:</t>
        </r>
        <r>
          <rPr>
            <sz val="10"/>
            <color rgb="FF000000"/>
            <rFont val="Tahoma"/>
            <family val="2"/>
          </rPr>
          <t xml:space="preserve">
</t>
        </r>
        <r>
          <rPr>
            <sz val="10"/>
            <color rgb="FF000000"/>
            <rFont val="Tahoma"/>
            <family val="2"/>
          </rPr>
          <t>Ferie udgifter: Spa 850 kr.</t>
        </r>
      </text>
    </comment>
    <comment ref="G16" authorId="0" shapeId="0" xr:uid="{D0AADAE1-C035-8547-ABB9-91C7FE6A30D3}">
      <text>
        <r>
          <rPr>
            <sz val="10"/>
            <color rgb="FF000000"/>
            <rFont val="Tahoma"/>
            <family val="2"/>
          </rPr>
          <t>Ferie (Bruxells)</t>
        </r>
      </text>
    </comment>
    <comment ref="F22" authorId="0" shapeId="0" xr:uid="{83C545F2-B54E-D541-B9EE-16C2734ED505}">
      <text>
        <r>
          <rPr>
            <sz val="10"/>
            <color rgb="FF000000"/>
            <rFont val="Tahoma"/>
            <family val="2"/>
          </rPr>
          <t>Rejsegodtgørelse (Stockholm): 3331,25 kr.</t>
        </r>
      </text>
    </comment>
    <comment ref="G23" authorId="0" shapeId="0" xr:uid="{7B111393-4151-9E49-95FE-D0F8A2C2E1B9}">
      <text>
        <r>
          <rPr>
            <sz val="10"/>
            <color rgb="FF000000"/>
            <rFont val="Tahoma"/>
            <family val="2"/>
          </rPr>
          <t>DBA</t>
        </r>
      </text>
    </comment>
  </commentList>
</comments>
</file>

<file path=xl/sharedStrings.xml><?xml version="1.0" encoding="utf-8"?>
<sst xmlns="http://schemas.openxmlformats.org/spreadsheetml/2006/main" count="47" uniqueCount="45">
  <si>
    <t>Januar</t>
  </si>
  <si>
    <t>Februar</t>
  </si>
  <si>
    <t>Marts</t>
  </si>
  <si>
    <t>April</t>
  </si>
  <si>
    <t>Maj</t>
  </si>
  <si>
    <t>Juni</t>
  </si>
  <si>
    <t>Juli</t>
  </si>
  <si>
    <t>August</t>
  </si>
  <si>
    <t>September</t>
  </si>
  <si>
    <t>Oktober</t>
  </si>
  <si>
    <t>November</t>
  </si>
  <si>
    <t>December</t>
  </si>
  <si>
    <t>Gennemsnit (måned)</t>
  </si>
  <si>
    <t>Median (Måned)</t>
  </si>
  <si>
    <t>Total</t>
  </si>
  <si>
    <t>Husleje</t>
  </si>
  <si>
    <t>A-kasse</t>
  </si>
  <si>
    <t>Internet og Telefon</t>
  </si>
  <si>
    <t>Varme (kredsløb)</t>
  </si>
  <si>
    <t>Fitness</t>
  </si>
  <si>
    <t>El (NRGI)</t>
  </si>
  <si>
    <t>Vand (Aarhus vand)</t>
  </si>
  <si>
    <t>Abonnementer</t>
  </si>
  <si>
    <t>Indboforsikring</t>
  </si>
  <si>
    <t xml:space="preserve">Daglivarer </t>
  </si>
  <si>
    <t>Byen / Cafe</t>
  </si>
  <si>
    <t>Transport</t>
  </si>
  <si>
    <t>Andet (Overførelse)</t>
  </si>
  <si>
    <t>Andet (Diverse)</t>
  </si>
  <si>
    <t>Takeaway / fast food</t>
  </si>
  <si>
    <t>Cykel (reparationer, udstyr mv.)</t>
  </si>
  <si>
    <t>Bøger</t>
  </si>
  <si>
    <t>Tøj, sko og accessories</t>
  </si>
  <si>
    <t>Ferie</t>
  </si>
  <si>
    <t>Indtægter</t>
  </si>
  <si>
    <t>Løn</t>
  </si>
  <si>
    <t>Investering</t>
  </si>
  <si>
    <t>Indskud til Nordnet</t>
  </si>
  <si>
    <t>Overblik</t>
  </si>
  <si>
    <t>Udgifter ekskl. Investering</t>
  </si>
  <si>
    <t>Indtægter Total</t>
  </si>
  <si>
    <t>Total inkl. Investering</t>
  </si>
  <si>
    <t>Total ekskl. Investering</t>
  </si>
  <si>
    <t>Hello Worlsssd</t>
  </si>
  <si>
    <t>Udgifter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</si>
</sst>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quot;kr.&quot;"/>
  </numFmts>
  <fonts count="7">
    <font>
      <name val="Aptos Narrow"/>
      <family val="2"/>
      <color theme="1"/>
      <sz val="12"/>
      <scheme val="minor"/>
    </font>
    <font>
      <name val="Aptos Narrow"/>
      <family val="2"/>
      <b val="1"/>
      <color theme="1"/>
      <sz val="12"/>
      <scheme val="minor"/>
    </font>
    <font>
      <name val="Calibri (Body)"/>
      <b val="1"/>
      <color theme="1"/>
      <sz val="12"/>
    </font>
    <font>
      <name val="Tahoma"/>
      <family val="2"/>
      <color rgb="FF000000"/>
      <sz val="10"/>
    </font>
    <font>
      <name val="Tahoma"/>
      <family val="2"/>
      <b val="1"/>
      <color rgb="FF000000"/>
      <sz val="10"/>
    </font>
    <font>
      <name val="Calibri"/>
      <family val="2"/>
      <color rgb="FF000000"/>
      <sz val="10"/>
    </font>
    <font>
      <name val="Aptos Narrow"/>
      <i val="1"/>
      <color theme="1"/>
      <sz val="12"/>
      <scheme val="minor"/>
    </font>
  </fonts>
  <fills count="9">
    <fill>
      <patternFill patternType="none"/>
    </fill>
    <fill>
      <patternFill patternType="gray125"/>
    </fill>
    <fill>
      <patternFill patternType="solid">
        <fgColor theme="4" tint="0.3999755851924192"/>
        <bgColor indexed="64"/>
      </patternFill>
    </fill>
    <fill>
      <patternFill patternType="solid">
        <fgColor theme="7"/>
        <bgColor indexed="64"/>
      </patternFill>
    </fill>
    <fill>
      <patternFill patternType="solid">
        <fgColor theme="0" tint="-0.249977111117893"/>
        <bgColor indexed="64"/>
      </patternFill>
    </fill>
    <fill>
      <patternFill patternType="solid">
        <fgColor theme="4" tint="0.5999938962981048"/>
        <bgColor indexed="64"/>
      </patternFill>
    </fill>
    <fill>
      <patternFill patternType="solid">
        <fgColor theme="9" tint="0.3999755851924192"/>
        <bgColor indexed="64"/>
      </patternFill>
    </fill>
    <fill>
      <patternFill patternType="solid">
        <fgColor rgb="FF92D050"/>
        <bgColor indexed="64"/>
      </patternFill>
    </fill>
    <fill>
      <patternFill patternType="solid">
        <fgColor theme="7" tint="0.3999755851924192"/>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top/>
      <bottom style="double">
        <color indexed="64"/>
      </bottom>
      <diagonal/>
    </border>
    <border>
      <left/>
      <right style="medium">
        <color indexed="64"/>
      </right>
      <top/>
      <bottom style="double">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double">
        <color indexed="64"/>
      </top>
      <bottom style="double">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style="double">
        <color indexed="64"/>
      </top>
      <bottom style="medium">
        <color indexed="64"/>
      </bottom>
      <diagonal/>
    </border>
    <border>
      <left style="medium">
        <color indexed="64"/>
      </left>
      <right/>
      <top/>
      <bottom/>
      <diagonal/>
    </border>
    <border>
      <left/>
      <right style="medium">
        <color indexed="64"/>
      </right>
      <top/>
      <bottom/>
      <diagonal/>
    </border>
    <border>
      <left/>
      <right/>
      <top style="double">
        <color indexed="64"/>
      </top>
      <bottom style="double">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1" fillId="2" borderId="1" xfId="0" applyFont="true" applyFill="true" applyBorder="true"/>
    <xf numFmtId="0" fontId="1" fillId="3" borderId="2" xfId="0" applyFont="true" applyFill="true" applyBorder="true" applyAlignment="true">
      <alignment horizontal="center"/>
    </xf>
    <xf numFmtId="0" fontId="1" fillId="4" borderId="2" xfId="0" applyFont="true" applyFill="true" applyBorder="true" applyAlignment="true">
      <alignment horizontal="center"/>
    </xf>
    <xf numFmtId="0" fontId="1" fillId="4" borderId="3" xfId="0" applyFont="true" applyFill="true" applyBorder="true" applyAlignment="true">
      <alignment horizontal="center"/>
    </xf>
    <xf numFmtId="0" fontId="0" fillId="2" borderId="4" xfId="0" applyFill="true" applyBorder="true"/>
    <xf numFmtId="164" fontId="0" fillId="2" borderId="5" xfId="0" applyNumberFormat="true" applyFill="true" applyBorder="true"/>
    <xf numFmtId="164" fontId="0" fillId="4" borderId="6" xfId="0" applyNumberFormat="true" applyFill="true" applyBorder="true"/>
    <xf numFmtId="164" fontId="0" fillId="4" borderId="7" xfId="0" applyNumberFormat="true" applyFill="true" applyBorder="true"/>
    <xf numFmtId="164" fontId="0" fillId="2" borderId="8" xfId="0" applyNumberFormat="true" applyFill="true" applyBorder="true"/>
    <xf numFmtId="0" fontId="0" fillId="2" borderId="9" xfId="0" applyFill="true" applyBorder="true"/>
    <xf numFmtId="164" fontId="0" fillId="4" borderId="10" xfId="0" applyNumberFormat="true" applyFill="true" applyBorder="true"/>
    <xf numFmtId="0" fontId="0" fillId="2" borderId="11" xfId="0" applyFill="true" applyBorder="true"/>
    <xf numFmtId="164" fontId="0" fillId="2" borderId="12" xfId="0" applyNumberFormat="true" applyFill="true" applyBorder="true"/>
    <xf numFmtId="164" fontId="0" fillId="4" borderId="13" xfId="0" applyNumberFormat="true" applyFill="true" applyBorder="true"/>
    <xf numFmtId="164" fontId="0" fillId="4" borderId="14" xfId="0" applyNumberFormat="true" applyFill="true" applyBorder="true"/>
    <xf numFmtId="0" fontId="0" fillId="5" borderId="4" xfId="0" applyFill="true" applyBorder="true"/>
    <xf numFmtId="164" fontId="0" fillId="5" borderId="5" xfId="0" applyNumberFormat="true" applyFill="true" applyBorder="true"/>
    <xf numFmtId="0" fontId="0" fillId="5" borderId="9" xfId="0" applyFill="true" applyBorder="true"/>
    <xf numFmtId="164" fontId="0" fillId="5" borderId="8" xfId="0" applyNumberFormat="true" applyFill="true" applyBorder="true"/>
    <xf numFmtId="0" fontId="1" fillId="6" borderId="15" xfId="0" applyFont="true" applyFill="true" applyBorder="true"/>
    <xf numFmtId="164" fontId="0" fillId="6" borderId="0" xfId="0" applyNumberFormat="true" applyFill="true"/>
    <xf numFmtId="164" fontId="0" fillId="4" borderId="0" xfId="0" applyNumberFormat="true" applyFill="true"/>
    <xf numFmtId="164" fontId="0" fillId="4" borderId="16" xfId="0" applyNumberFormat="true" applyFill="true" applyBorder="true"/>
    <xf numFmtId="0" fontId="0" fillId="6" borderId="4" xfId="0" applyFill="true" applyBorder="true"/>
    <xf numFmtId="164" fontId="0" fillId="6" borderId="5" xfId="0" applyNumberFormat="true" applyFill="true" applyBorder="true"/>
    <xf numFmtId="0" fontId="0" fillId="6" borderId="9" xfId="0" applyFill="true" applyBorder="true"/>
    <xf numFmtId="164" fontId="0" fillId="6" borderId="8" xfId="0" applyNumberFormat="true" applyFill="true" applyBorder="true"/>
    <xf numFmtId="164" fontId="0" fillId="4" borderId="17" xfId="0" applyNumberFormat="true" applyFill="true" applyBorder="true"/>
    <xf numFmtId="0" fontId="1" fillId="7" borderId="15" xfId="0" applyFont="true" applyFill="true" applyBorder="true"/>
    <xf numFmtId="0" fontId="0" fillId="7" borderId="0" xfId="0" applyFill="true"/>
    <xf numFmtId="0" fontId="0" fillId="7" borderId="4" xfId="0" applyFill="true" applyBorder="true"/>
    <xf numFmtId="164" fontId="0" fillId="7" borderId="5" xfId="0" applyNumberFormat="true" applyFill="true" applyBorder="true"/>
    <xf numFmtId="0" fontId="2" fillId="8" borderId="15" xfId="0" applyFont="true" applyFill="true" applyBorder="true"/>
    <xf numFmtId="164" fontId="0" fillId="8" borderId="0" xfId="0" applyNumberFormat="true" applyFill="true"/>
    <xf numFmtId="164" fontId="0" fillId="8" borderId="5" xfId="0" applyNumberFormat="true" applyFill="true" applyBorder="true"/>
    <xf numFmtId="164" fontId="0" fillId="8" borderId="12" xfId="0" applyNumberFormat="true" applyFill="true" applyBorder="true"/>
    <xf numFmtId="164" fontId="0" fillId="4" borderId="5" xfId="0" applyNumberFormat="true" applyFill="true" applyBorder="true"/>
    <xf numFmtId="164" fontId="0" fillId="4" borderId="18" xfId="0" applyNumberFormat="true" applyFill="true" applyBorder="true"/>
    <xf numFmtId="164" fontId="0" fillId="8" borderId="13" xfId="0" applyNumberFormat="true" applyFill="true" applyBorder="true"/>
    <xf numFmtId="164" fontId="0" fillId="4" borderId="20" xfId="0" applyNumberFormat="true" applyFill="true" applyBorder="true"/>
    <xf numFmtId="0" fontId="6" fillId="8" borderId="4" xfId="0" applyFont="true" applyFill="true" applyBorder="true"/>
    <xf numFmtId="0" fontId="6" fillId="8" borderId="11" xfId="0" applyFont="true" applyFill="true" applyBorder="true"/>
    <xf numFmtId="0" fontId="6" fillId="8" borderId="19" xfId="0" applyFont="true" applyFill="true" applyBorder="true"/>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29496EA-91B4-4442-81E0-BBF56361D498}">
  <we:reference id="1e10eb66-9ba2-46e3-84ee-57e2a49831f0" version="3.0.0.1" store="EXCatalog" storeType="EXCatalog"/>
  <we:alternateReferences>
    <we:reference id="WA104100404" version="3.0.0.1" store="en-US" storeType="OMEX"/>
  </we:alternateReferences>
  <we:properties>
    <we:property name="UniqueID" value="&quot;20239301698669038232&quot;"/>
    <we:property name="dzInEjxEcGF4RAFZF1IH" value="&quot;&quot;"/>
    <we:property name="dzInEjxEcGF4RAFZK18BAlA1HBA3Vw==" value="&quot;chUE&quot;"/>
    <we:property name="dzInEjxEcGF4RAFZFVEVOVwp" value="&quot;BA==&quot;"/>
    <we:property name="dzInEjxEcGF4RAFZK18BAlA1HBs8Vw==" value="&quot;BA==&quot;"/>
    <we:property name="dzInEjxEcGF4RAFZK18BAlA1HAUrVQ==" value="&quot;BWlzRWkAYGI=&quot;"/>
    <we:property name="dzInEjxEcGF4RAFZK18BAlA1HAY6XA==" value="&quot;BA==&quot;"/>
    <we:property name="dzInEjxEcGF4RAFZK18BAlA1HAc1SA==" value="&quot;BQ==&quot;"/>
    <we:property name="dzInEjxEcGF4RAFZK18BAlA1HAE2XA==" value="&quot;BWlzRA==&quot;"/>
    <we:property name="dzInEjxEcGF4RAFZK18BAlA1HBYvVw==" value="&quot;BWlzRWkB&quot;"/>
    <we:property name="dzInEjxEcGF4RAFZK18BAlA1HBgqXA==" value="&quot;BQ==&quot;"/>
    <we:property name="dzInEjxEcGF4RAFZK18BAlA1HAYqSg==" value="&quot;BHdz&quot;"/>
    <we:property name="dzInEjxEcGF4RAFZK18BAlA1HAcqVA==" value="&quot;BQ==&quot;"/>
    <we:property name="dzInEjxEcGF4RAFZK18BAlA1HBgrRA==" value="&quot;BWlzQmw=&quot;"/>
    <we:property name="dzInEjxEcGF4RAFZK18BAlA1HBg3WQ==" value="&quot;Bnc=&quot;"/>
    <we:property name="dzInEjxEcGF4RAFZK18BAlA1HAc7Rg==" value="&quot;BA==&quot;"/>
    <we:property name="dzInEjxEcGF4RAFZK18BAlA1HBstQg==" value="&quot;Bw==&quot;"/>
    <we:property name="dzInEjxEcGF4RAFZK18BAlA1HBQ6Uw==" value="&quot;BWlzRWg=&quot;"/>
    <we:property name="dzInEjxEcGF4RAFZK18BAlA1HAc8Qw==" value="&quot;AA==&quot;"/>
    <we:property name="dzInEjxEcGF4RAFZK18BAlA1HBQrQw==" value="&quot;BA==&quot;"/>
    <we:property name="dzInEjxEcGF4RAFZK18BAlA1HAYtUQ==" value="&quot;BQ==&quot;"/>
    <we:property name="dzInEjxEcGF4RAFZK18BAlA1HBg8RA==" value="&quot;Bw==&quot;"/>
    <we:property name="dzInEjxEcGF4RAFZK18BAlA1HAY2Uw==" value="&quot;BQ==&quot;"/>
    <we:property name="dzInEjxEcGF4RAFZK18BAlA1HBkpRA==" value="&quot;BQ==&quot;"/>
    <we:property name="dzInEjxEcGF4RAFZK18BAlA1HBkpQA==" value="&quot;BQ==&quot;"/>
    <we:property name="dzInEjxEcGF4RAFZK18BAlA1HBI4QA==" value="&quot;BWlzRWkAYGI=&quot;"/>
    <we:property name="dzInEjxEcGF4RAFZK18BAlA1HBwpQw==" value="&quot;BWl6TA==&quot;"/>
    <we:property name="dzInEjxEcGF4RAFZK18BAlA1HBM8UQ==" value="&quot;BWlzRWkAYGI=&quot;"/>
    <we:property name="dzInEjxEcGF4RAFZK18BAlA1HBwpWQ==" value="&quot;BA==&quot;"/>
    <we:property name="dzInEjxEcGF4RAFZK18BAlA1HBwpVA==" value="&quot;Bg==&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6279-0C22-F146-A0C6-D2A0D14030D6}">
  <dimension ref="A1:S31"/>
  <sheetViews>
    <sheetView tabSelected="true" zoomScale="106" workbookViewId="0">
      <selection activeCell="I27" sqref="I27"/>
    </sheetView>
  </sheetViews>
  <sheetFormatPr baseColWidth="10" defaultRowHeight="16"/>
  <cols>
    <col bestFit="true" customWidth="true" max="1" min="1" width="27"/>
    <col bestFit="true" customWidth="true" max="11" min="9" width="11.6640625"/>
    <col bestFit="true" customWidth="true" max="14" min="14" width="19"/>
    <col bestFit="true" customWidth="true" max="15" min="15" width="14.6640625"/>
    <col bestFit="true" customWidth="true" max="16" min="16" width="13.1640625"/>
  </cols>
  <sheetData>
    <row r="1" spans="1:19">
      <c r="A1" s="1" t="s">
        <v>44</v>
      </c>
      <c r="B1" s="2" t="s">
        <v>0</v>
      </c>
      <c r="C1" s="2" t="s">
        <v>1</v>
      </c>
      <c r="D1" s="2" t="s">
        <v>2</v>
      </c>
      <c r="E1" s="2" t="s">
        <v>3</v>
      </c>
      <c r="F1" s="2" t="s">
        <v>4</v>
      </c>
      <c r="G1" s="2" t="s">
        <v>5</v>
      </c>
      <c r="H1" s="2" t="s">
        <v>6</v>
      </c>
      <c r="I1" s="2" t="s">
        <v>7</v>
      </c>
      <c r="J1" s="2" t="s">
        <v>8</v>
      </c>
      <c r="K1" s="2" t="s">
        <v>9</v>
      </c>
      <c r="L1" s="2" t="s">
        <v>10</v>
      </c>
      <c r="M1" s="2" t="s">
        <v>11</v>
      </c>
      <c r="N1" s="3" t="s">
        <v>12</v>
      </c>
      <c r="O1" s="3" t="s">
        <v>13</v>
      </c>
      <c r="P1" s="4" t="s">
        <v>14</v>
      </c>
      <c r="S1" t="s">
        <v>43</v>
      </c>
    </row>
    <row r="2" spans="1:19" ht="17" thickBot="true">
      <c r="A2" s="5" t="s">
        <v>15</v>
      </c>
      <c r="B2" s="6">
        <v>5000</v>
      </c>
      <c r="C2" s="6">
        <v>5000</v>
      </c>
      <c r="D2" s="6">
        <v>5000</v>
      </c>
      <c r="E2" s="6">
        <v>5000</v>
      </c>
      <c r="F2" s="6">
        <v>5000</v>
      </c>
      <c r="G2" s="6">
        <v>5000</v>
      </c>
      <c r="H2" s="6">
        <v>5000</v>
      </c>
      <c r="I2" s="6">
        <v>-0.00</v>
      </c>
      <c r="J2" s="6"/>
      <c r="K2" s="6"/>
      <c r="L2" s="6"/>
      <c r="M2" s="6"/>
      <c r="N2" s="7">
        <f t="shared" ref="N2:N20" si="0">AVERAGEIF(B2:M2,"&gt;=0") * -1</f>
        <v>-5000</v>
      </c>
      <c r="O2" s="7">
        <f t="shared" ref="O2:O20" si="1">MEDIAN(B2:M2) * -1</f>
        <v>-5000</v>
      </c>
      <c r="P2" s="8">
        <f t="shared" ref="P2:P20" si="2">SUM(B2:M2) * -1</f>
        <v>-35000</v>
      </c>
    </row>
    <row r="3" spans="1:19" ht="18" thickTop="true" thickBot="true">
      <c r="A3" s="5" t="s">
        <v>16</v>
      </c>
      <c r="B3" s="6">
        <v>542</v>
      </c>
      <c r="C3" s="6">
        <v>542</v>
      </c>
      <c r="D3" s="6">
        <v>542</v>
      </c>
      <c r="E3" s="6">
        <v>542</v>
      </c>
      <c r="F3" s="6">
        <v>542</v>
      </c>
      <c r="G3" s="6">
        <v>542</v>
      </c>
      <c r="H3" s="6">
        <v>542</v>
      </c>
      <c r="I3" s="6">
        <v>542.00</v>
      </c>
      <c r="J3" s="6"/>
      <c r="K3" s="6"/>
      <c r="L3" s="6"/>
      <c r="M3" s="6"/>
      <c r="N3" s="7">
        <f t="shared" si="0"/>
        <v>-542</v>
      </c>
      <c r="O3" s="7">
        <f t="shared" si="1"/>
        <v>-542</v>
      </c>
      <c r="P3" s="8">
        <f t="shared" si="2"/>
        <v>-3794</v>
      </c>
    </row>
    <row r="4" spans="1:19" ht="18" thickTop="true" thickBot="true">
      <c r="A4" s="5" t="s">
        <v>17</v>
      </c>
      <c r="B4" s="9">
        <v>597</v>
      </c>
      <c r="C4" s="9">
        <v>558.5</v>
      </c>
      <c r="D4" s="9">
        <v>514.75</v>
      </c>
      <c r="E4" s="9">
        <v>515.5</v>
      </c>
      <c r="F4" s="9">
        <v>506.75</v>
      </c>
      <c r="G4" s="9">
        <v>527.75</v>
      </c>
      <c r="H4" s="9">
        <v>527.75</v>
      </c>
      <c r="I4" s="6">
        <v>527.75</v>
      </c>
      <c r="J4" s="6"/>
      <c r="K4" s="6"/>
      <c r="L4" s="6"/>
      <c r="M4" s="6"/>
      <c r="N4" s="7">
        <f t="shared" si="0"/>
        <v>-535.42857142857144</v>
      </c>
      <c r="O4" s="7">
        <f t="shared" si="1"/>
        <v>-527.75</v>
      </c>
      <c r="P4" s="8">
        <f t="shared" si="2"/>
        <v>-3748</v>
      </c>
    </row>
    <row r="5" spans="1:19" ht="18" thickTop="true" thickBot="true">
      <c r="A5" s="5" t="s">
        <v>18</v>
      </c>
      <c r="B5" s="9">
        <v>0</v>
      </c>
      <c r="C5" s="9">
        <v>1663.04</v>
      </c>
      <c r="D5" s="9">
        <v>0</v>
      </c>
      <c r="E5" s="9">
        <v>0</v>
      </c>
      <c r="F5" s="9">
        <v>997.16</v>
      </c>
      <c r="G5" s="9">
        <v>0</v>
      </c>
      <c r="H5" s="9">
        <v>0</v>
      </c>
      <c r="I5" s="6">
        <v>-0.00</v>
      </c>
      <c r="J5" s="6"/>
      <c r="K5" s="6"/>
      <c r="L5" s="6"/>
      <c r="M5" s="6"/>
      <c r="N5" s="7">
        <f t="shared" si="0"/>
        <v>-380.02857142857141</v>
      </c>
      <c r="O5" s="7">
        <f t="shared" si="1"/>
        <v>0</v>
      </c>
      <c r="P5" s="8">
        <f t="shared" si="2"/>
        <v>-2660.2</v>
      </c>
    </row>
    <row r="6" spans="1:19" ht="18" thickTop="true" thickBot="true">
      <c r="A6" s="5" t="s">
        <v>19</v>
      </c>
      <c r="B6" s="6">
        <v>251.2</v>
      </c>
      <c r="C6" s="6">
        <v>251.2</v>
      </c>
      <c r="D6" s="6">
        <v>251.2</v>
      </c>
      <c r="E6" s="6">
        <v>251.2</v>
      </c>
      <c r="F6" s="6">
        <v>251.2</v>
      </c>
      <c r="G6" s="6">
        <v>251.2</v>
      </c>
      <c r="H6" s="6">
        <v>281.2</v>
      </c>
      <c r="I6" s="6">
        <v>281.20</v>
      </c>
      <c r="J6" s="6"/>
      <c r="K6" s="6"/>
      <c r="L6" s="6"/>
      <c r="M6" s="6"/>
      <c r="N6" s="7">
        <f t="shared" si="0"/>
        <v>-255.48571428571429</v>
      </c>
      <c r="O6" s="7">
        <f t="shared" si="1"/>
        <v>-251.2</v>
      </c>
      <c r="P6" s="8">
        <f t="shared" si="2"/>
        <v>-1788.4</v>
      </c>
    </row>
    <row r="7" spans="1:19" ht="18" thickTop="true" thickBot="true">
      <c r="A7" s="5" t="s">
        <v>20</v>
      </c>
      <c r="B7" s="9">
        <v>200.99</v>
      </c>
      <c r="C7" s="9">
        <v>218.23</v>
      </c>
      <c r="D7" s="9">
        <v>173.79</v>
      </c>
      <c r="E7" s="9">
        <v>158.71</v>
      </c>
      <c r="F7" s="9">
        <v>177.75</v>
      </c>
      <c r="G7" s="9">
        <v>144.75</v>
      </c>
      <c r="H7" s="9">
        <v>158.69999999999999</v>
      </c>
      <c r="I7" s="6">
        <v>158.70</v>
      </c>
      <c r="J7" s="6"/>
      <c r="K7" s="6"/>
      <c r="L7" s="6"/>
      <c r="M7" s="6"/>
      <c r="N7" s="7">
        <f t="shared" si="0"/>
        <v>-176.13142857142859</v>
      </c>
      <c r="O7" s="7">
        <f t="shared" si="1"/>
        <v>-173.79</v>
      </c>
      <c r="P7" s="8">
        <f t="shared" si="2"/>
        <v>-1232.92</v>
      </c>
    </row>
    <row r="8" spans="1:19" ht="18" thickTop="true" thickBot="true">
      <c r="A8" s="10" t="s">
        <v>21</v>
      </c>
      <c r="B8" s="6">
        <v>0</v>
      </c>
      <c r="C8" s="6">
        <v>312.2</v>
      </c>
      <c r="D8" s="6">
        <v>0</v>
      </c>
      <c r="E8" s="6">
        <v>0</v>
      </c>
      <c r="F8" s="6">
        <v>0</v>
      </c>
      <c r="G8" s="6">
        <v>687.94</v>
      </c>
      <c r="H8" s="6">
        <v>0</v>
      </c>
      <c r="I8" s="6">
        <v>-0.00</v>
      </c>
      <c r="J8" s="6"/>
      <c r="K8" s="6"/>
      <c r="L8" s="6"/>
      <c r="M8" s="6"/>
      <c r="N8" s="7">
        <f t="shared" si="0"/>
        <v>-142.87714285714287</v>
      </c>
      <c r="O8" s="7">
        <f t="shared" si="1"/>
        <v>0</v>
      </c>
      <c r="P8" s="11">
        <f t="shared" si="2"/>
        <v>-1000.1400000000001</v>
      </c>
    </row>
    <row r="9" spans="1:19" ht="18" thickTop="true" thickBot="true">
      <c r="A9" s="10" t="s">
        <v>22</v>
      </c>
      <c r="B9" s="9">
        <v>9</v>
      </c>
      <c r="C9" s="9">
        <v>9</v>
      </c>
      <c r="D9" s="9">
        <v>9</v>
      </c>
      <c r="E9" s="9">
        <v>9</v>
      </c>
      <c r="F9" s="9">
        <v>9</v>
      </c>
      <c r="G9" s="9">
        <v>18</v>
      </c>
      <c r="H9" s="9">
        <v>9</v>
      </c>
      <c r="I9" s="9">
        <v>9.00</v>
      </c>
      <c r="J9" s="9"/>
      <c r="K9" s="6"/>
      <c r="L9" s="6"/>
      <c r="M9" s="6"/>
      <c r="N9" s="7">
        <f t="shared" si="0"/>
        <v>-10.285714285714286</v>
      </c>
      <c r="O9" s="7">
        <f t="shared" si="1"/>
        <v>-9</v>
      </c>
      <c r="P9" s="8">
        <f t="shared" si="2"/>
        <v>-72</v>
      </c>
    </row>
    <row r="10" spans="1:19" ht="18" thickTop="true" thickBot="true">
      <c r="A10" s="12" t="s">
        <v>23</v>
      </c>
      <c r="B10" s="13">
        <v>0</v>
      </c>
      <c r="C10" s="13">
        <v>0</v>
      </c>
      <c r="D10" s="13">
        <v>0</v>
      </c>
      <c r="E10" s="13">
        <v>0</v>
      </c>
      <c r="F10" s="13">
        <v>0</v>
      </c>
      <c r="G10" s="13">
        <v>0</v>
      </c>
      <c r="H10" s="13">
        <v>0</v>
      </c>
      <c r="I10" s="13">
        <v>-0.00</v>
      </c>
      <c r="J10" s="13"/>
      <c r="K10" s="13"/>
      <c r="L10" s="13"/>
      <c r="M10" s="13"/>
      <c r="N10" s="14">
        <f t="shared" si="0"/>
        <v>0</v>
      </c>
      <c r="O10" s="14">
        <f t="shared" si="1"/>
        <v>0</v>
      </c>
      <c r="P10" s="15">
        <f t="shared" si="2"/>
        <v>0</v>
      </c>
    </row>
    <row r="11" spans="1:19" ht="17" thickBot="true">
      <c r="A11" s="16" t="s">
        <v>24</v>
      </c>
      <c r="B11" s="17">
        <v>1419.27</v>
      </c>
      <c r="C11" s="17">
        <v>1281.0899999999999</v>
      </c>
      <c r="D11" s="17">
        <v>1817.27</v>
      </c>
      <c r="E11" s="17">
        <v>615.94000000000005</v>
      </c>
      <c r="F11" s="17">
        <v>1265.26</v>
      </c>
      <c r="G11" s="17">
        <v>2396.58</v>
      </c>
      <c r="H11" s="17">
        <v>544.73</v>
      </c>
      <c r="I11" s="17">
        <v>544.73</v>
      </c>
      <c r="J11" s="17"/>
      <c r="K11" s="17"/>
      <c r="L11" s="17"/>
      <c r="M11" s="17"/>
      <c r="N11" s="7">
        <f t="shared" si="0"/>
        <v>-1334.3057142857142</v>
      </c>
      <c r="O11" s="7">
        <f t="shared" si="1"/>
        <v>-1281.0899999999999</v>
      </c>
      <c r="P11" s="8">
        <f t="shared" si="2"/>
        <v>-9340.14</v>
      </c>
    </row>
    <row r="12" spans="1:19" ht="18" thickTop="true" thickBot="true">
      <c r="A12" s="18" t="s">
        <v>25</v>
      </c>
      <c r="B12" s="17">
        <v>626</v>
      </c>
      <c r="C12" s="17">
        <v>2325</v>
      </c>
      <c r="D12" s="17">
        <v>250</v>
      </c>
      <c r="E12" s="17">
        <v>964.34</v>
      </c>
      <c r="F12" s="17">
        <v>302</v>
      </c>
      <c r="G12" s="17">
        <f>4472.11</f>
        <v>4472.1099999999997</v>
      </c>
      <c r="H12" s="17">
        <v>0</v>
      </c>
      <c r="I12" s="19">
        <v>390.00</v>
      </c>
      <c r="J12" s="19"/>
      <c r="K12" s="19"/>
      <c r="L12" s="19"/>
      <c r="M12" s="17"/>
      <c r="N12" s="7">
        <f t="shared" si="0"/>
        <v>-1277.0642857142859</v>
      </c>
      <c r="O12" s="7">
        <f t="shared" si="1"/>
        <v>-626</v>
      </c>
      <c r="P12" s="11">
        <f t="shared" si="2"/>
        <v>-8939.4500000000007</v>
      </c>
    </row>
    <row r="13" spans="1:19" ht="18" thickTop="true" thickBot="true">
      <c r="A13" s="18" t="s">
        <v>26</v>
      </c>
      <c r="B13" s="19">
        <v>676.58</v>
      </c>
      <c r="C13" s="19">
        <v>977.26</v>
      </c>
      <c r="D13" s="19">
        <v>206.7</v>
      </c>
      <c r="E13" s="19">
        <v>750.58</v>
      </c>
      <c r="F13" s="19">
        <v>1571.78</v>
      </c>
      <c r="G13" s="19">
        <v>1288.3699999999999</v>
      </c>
      <c r="H13" s="19">
        <v>449.12</v>
      </c>
      <c r="I13" s="19">
        <v>449.12</v>
      </c>
      <c r="J13" s="19"/>
      <c r="K13" s="19"/>
      <c r="L13" s="17"/>
      <c r="M13" s="17"/>
      <c r="N13" s="7">
        <f t="shared" si="0"/>
        <v>-845.7700000000001</v>
      </c>
      <c r="O13" s="7">
        <f t="shared" si="1"/>
        <v>-750.58</v>
      </c>
      <c r="P13" s="11">
        <f t="shared" si="2"/>
        <v>-5920.39</v>
      </c>
    </row>
    <row r="14" spans="1:19" ht="18" thickTop="true" thickBot="true">
      <c r="A14" s="18" t="s">
        <v>27</v>
      </c>
      <c r="B14" s="17">
        <v>611.6</v>
      </c>
      <c r="C14" s="17">
        <v>1395</v>
      </c>
      <c r="D14" s="17">
        <v>179</v>
      </c>
      <c r="E14" s="17">
        <v>758.99</v>
      </c>
      <c r="F14" s="17">
        <v>804</v>
      </c>
      <c r="G14" s="17">
        <v>469.38</v>
      </c>
      <c r="H14" s="17">
        <v>582</v>
      </c>
      <c r="I14" s="17">
        <v>582.00</v>
      </c>
      <c r="J14" s="17"/>
      <c r="K14" s="17"/>
      <c r="L14" s="17"/>
      <c r="M14" s="17"/>
      <c r="N14" s="7">
        <f t="shared" si="0"/>
        <v>-685.71</v>
      </c>
      <c r="O14" s="7">
        <f t="shared" si="1"/>
        <v>-611.6</v>
      </c>
      <c r="P14" s="11">
        <f t="shared" si="2"/>
        <v>-4799.97</v>
      </c>
    </row>
    <row r="15" spans="1:19" ht="18" thickTop="true" thickBot="true">
      <c r="A15" s="18" t="s">
        <v>28</v>
      </c>
      <c r="B15" s="19">
        <f>160+29+249.95</f>
        <v>438.95</v>
      </c>
      <c r="C15" s="19">
        <f>240+32+150</f>
        <v>422</v>
      </c>
      <c r="D15" s="19">
        <f>75+226.62</f>
        <v>301.62</v>
      </c>
      <c r="E15" s="19">
        <f>85.56+5</f>
        <v>90.56</v>
      </c>
      <c r="F15" s="19">
        <f>250+295+240</f>
        <v>785</v>
      </c>
      <c r="G15" s="19">
        <v>0</v>
      </c>
      <c r="H15" s="19">
        <v>390</v>
      </c>
      <c r="I15" s="19">
        <v>5486.98</v>
      </c>
      <c r="J15" s="19"/>
      <c r="K15" s="17"/>
      <c r="L15" s="17"/>
      <c r="M15" s="17"/>
      <c r="N15" s="7">
        <f t="shared" si="0"/>
        <v>-346.87571428571431</v>
      </c>
      <c r="O15" s="7">
        <f t="shared" si="1"/>
        <v>-390</v>
      </c>
      <c r="P15" s="11">
        <f t="shared" si="2"/>
        <v>-2428.13</v>
      </c>
    </row>
    <row r="16" spans="1:19" ht="18" thickTop="true" thickBot="true">
      <c r="A16" s="18" t="s">
        <v>29</v>
      </c>
      <c r="B16" s="19">
        <v>333.58</v>
      </c>
      <c r="C16" s="19">
        <v>292.5</v>
      </c>
      <c r="D16" s="19">
        <v>165.14</v>
      </c>
      <c r="E16" s="19">
        <v>95.9</v>
      </c>
      <c r="F16" s="19">
        <v>221.55</v>
      </c>
      <c r="G16" s="19">
        <v>808.54</v>
      </c>
      <c r="H16" s="19">
        <v>0</v>
      </c>
      <c r="I16" s="19">
        <v>-0.00</v>
      </c>
      <c r="J16" s="19"/>
      <c r="K16" s="17"/>
      <c r="L16" s="17"/>
      <c r="M16" s="17"/>
      <c r="N16" s="7">
        <f t="shared" si="0"/>
        <v>-273.88714285714281</v>
      </c>
      <c r="O16" s="7">
        <f t="shared" si="1"/>
        <v>-221.55</v>
      </c>
      <c r="P16" s="11">
        <f t="shared" si="2"/>
        <v>-1917.2099999999998</v>
      </c>
    </row>
    <row r="17" spans="1:16" ht="18" thickTop="true" thickBot="true">
      <c r="A17" s="18" t="s">
        <v>30</v>
      </c>
      <c r="B17" s="19">
        <v>1413</v>
      </c>
      <c r="C17" s="19">
        <v>0</v>
      </c>
      <c r="D17" s="19">
        <v>0</v>
      </c>
      <c r="E17" s="19">
        <v>0</v>
      </c>
      <c r="F17" s="19">
        <v>0</v>
      </c>
      <c r="G17" s="19">
        <v>0</v>
      </c>
      <c r="H17" s="19">
        <v>0</v>
      </c>
      <c r="I17" s="19">
        <v>-0.00</v>
      </c>
      <c r="J17" s="19"/>
      <c r="K17" s="17"/>
      <c r="L17" s="17"/>
      <c r="M17" s="17"/>
      <c r="N17" s="7">
        <f t="shared" si="0"/>
        <v>-201.85714285714286</v>
      </c>
      <c r="O17" s="7">
        <f t="shared" si="1"/>
        <v>0</v>
      </c>
      <c r="P17" s="11">
        <f t="shared" si="2"/>
        <v>-1413</v>
      </c>
    </row>
    <row r="18" spans="1:16" ht="18" thickTop="true" thickBot="true">
      <c r="A18" s="18" t="s">
        <v>31</v>
      </c>
      <c r="B18" s="17">
        <v>0</v>
      </c>
      <c r="C18" s="17">
        <v>0</v>
      </c>
      <c r="D18" s="17">
        <v>0</v>
      </c>
      <c r="E18" s="17">
        <v>0</v>
      </c>
      <c r="F18" s="17">
        <v>0</v>
      </c>
      <c r="G18" s="17">
        <v>260.52999999999997</v>
      </c>
      <c r="H18" s="17">
        <v>0</v>
      </c>
      <c r="I18" s="17">
        <v>-0.00</v>
      </c>
      <c r="J18" s="17"/>
      <c r="K18" s="17"/>
      <c r="L18" s="17"/>
      <c r="M18" s="17"/>
      <c r="N18" s="7">
        <f t="shared" si="0"/>
        <v>-37.218571428571423</v>
      </c>
      <c r="O18" s="7">
        <f t="shared" si="1"/>
        <v>0</v>
      </c>
      <c r="P18" s="11">
        <f t="shared" si="2"/>
        <v>-260.52999999999997</v>
      </c>
    </row>
    <row r="19" spans="1:16" ht="18" thickTop="true" thickBot="true">
      <c r="A19" s="18" t="s">
        <v>32</v>
      </c>
      <c r="B19" s="17">
        <v>0</v>
      </c>
      <c r="C19" s="17">
        <v>0</v>
      </c>
      <c r="D19" s="17">
        <v>0</v>
      </c>
      <c r="E19" s="17">
        <v>0</v>
      </c>
      <c r="F19" s="17">
        <v>0</v>
      </c>
      <c r="G19" s="17">
        <v>200</v>
      </c>
      <c r="H19" s="17">
        <v>0</v>
      </c>
      <c r="I19" s="17">
        <v>-0.00</v>
      </c>
      <c r="J19" s="17"/>
      <c r="K19" s="17"/>
      <c r="L19" s="17"/>
      <c r="M19" s="17"/>
      <c r="N19" s="7">
        <f t="shared" si="0"/>
        <v>-28.571428571428573</v>
      </c>
      <c r="O19" s="7">
        <f t="shared" si="1"/>
        <v>0</v>
      </c>
      <c r="P19" s="11">
        <f t="shared" si="2"/>
        <v>-200</v>
      </c>
    </row>
    <row r="20" spans="1:16" ht="18" thickTop="true" thickBot="true">
      <c r="A20" s="18" t="s">
        <v>33</v>
      </c>
      <c r="B20" s="17">
        <v>0</v>
      </c>
      <c r="C20" s="17">
        <v>0</v>
      </c>
      <c r="D20" s="17">
        <v>0</v>
      </c>
      <c r="E20" s="17">
        <v>0</v>
      </c>
      <c r="F20" s="17">
        <v>0</v>
      </c>
      <c r="G20" s="17">
        <v>0</v>
      </c>
      <c r="H20" s="17">
        <v>0</v>
      </c>
      <c r="I20" s="17">
        <v>-0.00</v>
      </c>
      <c r="J20" s="17"/>
      <c r="K20" s="17"/>
      <c r="L20" s="17"/>
      <c r="M20" s="17"/>
      <c r="N20" s="7">
        <f t="shared" si="0"/>
        <v>0</v>
      </c>
      <c r="O20" s="7">
        <f t="shared" si="1"/>
        <v>0</v>
      </c>
      <c r="P20" s="11">
        <f t="shared" si="2"/>
        <v>0</v>
      </c>
    </row>
    <row r="21" spans="1:16" ht="17" thickTop="true">
      <c r="A21" s="20" t="s">
        <v>34</v>
      </c>
      <c r="B21" s="21"/>
      <c r="C21" s="21"/>
      <c r="D21" s="21"/>
      <c r="E21" s="21"/>
      <c r="F21" s="21"/>
      <c r="G21" s="21"/>
      <c r="H21" s="21"/>
      <c r="I21" s="21"/>
      <c r="J21" s="21"/>
      <c r="K21" s="21"/>
      <c r="L21" s="21"/>
      <c r="M21" s="21"/>
      <c r="N21" s="22"/>
      <c r="O21" s="22"/>
      <c r="P21" s="23"/>
    </row>
    <row r="22" spans="1:16" ht="17" thickBot="true">
      <c r="A22" s="24" t="s">
        <v>35</v>
      </c>
      <c r="B22" s="25">
        <v>27398</v>
      </c>
      <c r="C22" s="25">
        <f>27012+386</f>
        <v>27398</v>
      </c>
      <c r="D22" s="25">
        <f>27012+386</f>
        <v>27398</v>
      </c>
      <c r="E22" s="25">
        <f>27192+386</f>
        <v>27578</v>
      </c>
      <c r="F22" s="25">
        <f>32129.02+386</f>
        <v>32515.02</v>
      </c>
      <c r="G22" s="25">
        <f>27949.5+386</f>
        <v>28335.5</v>
      </c>
      <c r="H22" s="25">
        <f>28889.9+386</f>
        <v>29275.9</v>
      </c>
      <c r="I22" s="25">
        <v>-0.00</v>
      </c>
      <c r="J22" s="25"/>
      <c r="K22" s="25"/>
      <c r="L22" s="25"/>
      <c r="M22" s="25"/>
      <c r="N22" s="7">
        <f>AVERAGEIF(B22:M22,"&gt;=0")</f>
        <v>28556.917142857139</v>
      </c>
      <c r="O22" s="7">
        <f>MEDIAN(B22:M22)</f>
        <v>27578</v>
      </c>
      <c r="P22" s="8">
        <f>SUM(B22:M22)</f>
        <v>199898.41999999998</v>
      </c>
    </row>
    <row r="23" spans="1:16" ht="18" thickTop="true" thickBot="true">
      <c r="A23" s="26" t="s">
        <v>27</v>
      </c>
      <c r="B23" s="27">
        <v>0</v>
      </c>
      <c r="C23" s="27">
        <v>221</v>
      </c>
      <c r="D23" s="27">
        <v>220</v>
      </c>
      <c r="E23" s="27">
        <v>250</v>
      </c>
      <c r="F23" s="27">
        <v>60</v>
      </c>
      <c r="G23" s="27">
        <f>400+500+220+220</f>
        <v>1340</v>
      </c>
      <c r="H23" s="27">
        <v>0</v>
      </c>
      <c r="I23" s="27"/>
      <c r="J23" s="27"/>
      <c r="K23" s="27"/>
      <c r="L23" s="27"/>
      <c r="M23" s="27"/>
      <c r="N23" s="7">
        <f>AVERAGEIF(B23:M23,"&gt;=0")</f>
        <v>298.71428571428572</v>
      </c>
      <c r="O23" s="7">
        <f>MEDIAN(B23:M23)</f>
        <v>220</v>
      </c>
      <c r="P23" s="11">
        <f>SUM(B23:M23)</f>
        <v>2091</v>
      </c>
    </row>
    <row r="24" spans="1:16" ht="18" thickTop="true" thickBot="true">
      <c r="A24" s="26" t="s">
        <v>28</v>
      </c>
      <c r="B24" s="27">
        <v>0</v>
      </c>
      <c r="C24" s="27">
        <v>252</v>
      </c>
      <c r="D24" s="27">
        <f>0.65+66.79</f>
        <v>67.440000000000012</v>
      </c>
      <c r="E24" s="27">
        <v>2173</v>
      </c>
      <c r="F24" s="27">
        <v>0</v>
      </c>
      <c r="G24" s="27">
        <f>1802.16+1.05+52.55</f>
        <v>1855.76</v>
      </c>
      <c r="H24" s="27">
        <v>0</v>
      </c>
      <c r="I24" s="27"/>
      <c r="J24" s="27"/>
      <c r="K24" s="27"/>
      <c r="L24" s="27"/>
      <c r="M24" s="27"/>
      <c r="N24" s="7">
        <f>AVERAGEIF(B24:M24,"&gt;=0")</f>
        <v>621.17142857142858</v>
      </c>
      <c r="O24" s="28">
        <f>MEDIAN(B24:M24)</f>
        <v>67.440000000000012</v>
      </c>
      <c r="P24" s="11">
        <f>SUM(B24:M24)</f>
        <v>4348.2</v>
      </c>
    </row>
    <row r="25" spans="1:16" ht="17" thickTop="true">
      <c r="A25" s="29" t="s">
        <v>36</v>
      </c>
      <c r="B25" s="30"/>
      <c r="C25" s="30"/>
      <c r="D25" s="30"/>
      <c r="E25" s="30"/>
      <c r="F25" s="30"/>
      <c r="G25" s="30"/>
      <c r="H25" s="30"/>
      <c r="I25" s="30"/>
      <c r="J25" s="30"/>
      <c r="K25" s="30"/>
      <c r="L25" s="30"/>
      <c r="M25" s="30"/>
      <c r="N25" s="22"/>
      <c r="O25" s="22"/>
      <c r="P25" s="23"/>
    </row>
    <row r="26" spans="1:16" ht="17" thickBot="true">
      <c r="A26" s="31" t="s">
        <v>37</v>
      </c>
      <c r="B26" s="32">
        <v>25000</v>
      </c>
      <c r="C26" s="32">
        <v>25000</v>
      </c>
      <c r="D26" s="32">
        <v>25000</v>
      </c>
      <c r="E26" s="32">
        <v>25000</v>
      </c>
      <c r="F26" s="32">
        <v>25000</v>
      </c>
      <c r="G26" s="32">
        <v>25000</v>
      </c>
      <c r="H26" s="32">
        <v>25000</v>
      </c>
      <c r="I26" s="32">
        <v>-0.00</v>
      </c>
      <c r="J26" s="32"/>
      <c r="K26" s="32"/>
      <c r="L26" s="32"/>
      <c r="M26" s="32"/>
      <c r="N26" s="7">
        <f>AVERAGEIF(B26:M26,"&gt;0")</f>
        <v>25000</v>
      </c>
      <c r="O26" s="7">
        <f>MEDIAN(B26:M26)</f>
        <v>25000</v>
      </c>
      <c r="P26" s="8">
        <f>SUM(B26:M26)</f>
        <v>175000</v>
      </c>
    </row>
    <row r="27" spans="1:16" ht="17" thickTop="true">
      <c r="A27" s="33" t="s">
        <v>38</v>
      </c>
      <c r="B27" s="34"/>
      <c r="C27" s="34"/>
      <c r="D27" s="34"/>
      <c r="E27" s="34"/>
      <c r="F27" s="34"/>
      <c r="G27" s="34"/>
      <c r="H27" s="34"/>
      <c r="I27" s="34"/>
      <c r="J27" s="34"/>
      <c r="K27" s="34"/>
      <c r="L27" s="34"/>
      <c r="M27" s="34"/>
      <c r="N27" s="22"/>
      <c r="O27" s="22"/>
      <c r="P27" s="23"/>
    </row>
    <row r="28" spans="1:16" ht="17" thickBot="true">
      <c r="A28" s="41" t="s">
        <v>39</v>
      </c>
      <c r="B28" s="35">
        <f t="shared" ref="B28:M28" si="3">(SUM(B2:B20)*-1)</f>
        <v>-12119.17</v>
      </c>
      <c r="C28" s="35">
        <f t="shared" si="3"/>
        <v>-15247.02</v>
      </c>
      <c r="D28" s="35">
        <f t="shared" si="3"/>
        <v>-9410.4700000000012</v>
      </c>
      <c r="E28" s="35">
        <f t="shared" si="3"/>
        <v>-9752.7199999999993</v>
      </c>
      <c r="F28" s="35">
        <f t="shared" si="3"/>
        <v>-12433.449999999999</v>
      </c>
      <c r="G28" s="35">
        <f t="shared" si="3"/>
        <v>-17067.149999999994</v>
      </c>
      <c r="H28" s="35">
        <f t="shared" si="3"/>
        <v>-8484.5</v>
      </c>
      <c r="I28" s="35">
        <f t="shared" si="3"/>
        <v>0</v>
      </c>
      <c r="J28" s="35">
        <f t="shared" si="3"/>
        <v>0</v>
      </c>
      <c r="K28" s="35">
        <f t="shared" si="3"/>
        <v>0</v>
      </c>
      <c r="L28" s="35">
        <f t="shared" si="3"/>
        <v>0</v>
      </c>
      <c r="M28" s="35">
        <f t="shared" si="3"/>
        <v>0</v>
      </c>
      <c r="N28" s="7">
        <f>AVERAGEIF(B28:M28,"&lt;&gt;0")</f>
        <v>-12073.497142857143</v>
      </c>
      <c r="O28" s="7">
        <f>MEDIAN(B28:M28)</f>
        <v>-8947.4850000000006</v>
      </c>
      <c r="P28" s="8">
        <f>SUM(B28:M28)</f>
        <v>-84514.48</v>
      </c>
    </row>
    <row r="29" spans="1:16" ht="18" thickTop="true" thickBot="true">
      <c r="A29" s="42" t="s">
        <v>40</v>
      </c>
      <c r="B29" s="36">
        <f t="shared" ref="B29:M29" si="4">SUM(B22:B24)</f>
        <v>27398</v>
      </c>
      <c r="C29" s="36">
        <f t="shared" si="4"/>
        <v>27871</v>
      </c>
      <c r="D29" s="36">
        <f t="shared" si="4"/>
        <v>27685.439999999999</v>
      </c>
      <c r="E29" s="36">
        <f t="shared" si="4"/>
        <v>30001</v>
      </c>
      <c r="F29" s="36">
        <f t="shared" si="4"/>
        <v>32575.02</v>
      </c>
      <c r="G29" s="36">
        <f t="shared" si="4"/>
        <v>31531.26</v>
      </c>
      <c r="H29" s="36">
        <f t="shared" si="4"/>
        <v>29275.9</v>
      </c>
      <c r="I29" s="36">
        <f t="shared" si="4"/>
        <v>0</v>
      </c>
      <c r="J29" s="36">
        <f t="shared" si="4"/>
        <v>0</v>
      </c>
      <c r="K29" s="36">
        <f t="shared" si="4"/>
        <v>0</v>
      </c>
      <c r="L29" s="36">
        <f t="shared" si="4"/>
        <v>0</v>
      </c>
      <c r="M29" s="36">
        <f t="shared" si="4"/>
        <v>0</v>
      </c>
      <c r="N29" s="14">
        <f>AVERAGEIF(B29:M29,"&lt;&gt;0")</f>
        <v>29476.802857142855</v>
      </c>
      <c r="O29" s="14">
        <f>MEDIAN(B29:M29)</f>
        <v>27541.72</v>
      </c>
      <c r="P29" s="15">
        <f>SUM(B29:M29)</f>
        <v>206337.62</v>
      </c>
    </row>
    <row r="30" spans="1:16">
      <c r="A30" s="41" t="s">
        <v>41</v>
      </c>
      <c r="B30" s="35">
        <f t="shared" ref="B30:M30" si="5">SUM(B28,B29) - B26</f>
        <v>-9721.17</v>
      </c>
      <c r="C30" s="35">
        <f t="shared" si="5"/>
        <v>-12376.02</v>
      </c>
      <c r="D30" s="35">
        <f t="shared" si="5"/>
        <v>-6725.0300000000025</v>
      </c>
      <c r="E30" s="35">
        <f t="shared" si="5"/>
        <v>-4751.7200000000012</v>
      </c>
      <c r="F30" s="35">
        <f t="shared" si="5"/>
        <v>-4858.43</v>
      </c>
      <c r="G30" s="35">
        <f t="shared" si="5"/>
        <v>-10535.889999999996</v>
      </c>
      <c r="H30" s="35">
        <f t="shared" si="5"/>
        <v>-4208.5999999999985</v>
      </c>
      <c r="I30" s="35">
        <f t="shared" si="5"/>
        <v>0</v>
      </c>
      <c r="J30" s="35">
        <f t="shared" si="5"/>
        <v>0</v>
      </c>
      <c r="K30" s="35">
        <f t="shared" si="5"/>
        <v>0</v>
      </c>
      <c r="L30" s="35">
        <f t="shared" si="5"/>
        <v>0</v>
      </c>
      <c r="M30" s="35">
        <f t="shared" si="5"/>
        <v>0</v>
      </c>
      <c r="N30" s="37">
        <f>AVERAGEIF(B30:M30,"&lt;&gt;0")</f>
        <v>-7596.6942857142849</v>
      </c>
      <c r="O30" s="37">
        <f>MEDIAN(B30:M30)</f>
        <v>-4480.16</v>
      </c>
      <c r="P30" s="38">
        <f>SUM(B30:M30)</f>
        <v>-53176.859999999993</v>
      </c>
    </row>
    <row r="31" spans="1:16" ht="17" thickBot="true">
      <c r="A31" s="43" t="s">
        <v>42</v>
      </c>
      <c r="B31" s="39">
        <f t="shared" ref="B31:M31" si="6">SUM(B28,B29)</f>
        <v>15278.83</v>
      </c>
      <c r="C31" s="39">
        <f t="shared" si="6"/>
        <v>12623.98</v>
      </c>
      <c r="D31" s="39">
        <f t="shared" si="6"/>
        <v>18274.969999999998</v>
      </c>
      <c r="E31" s="39">
        <f t="shared" si="6"/>
        <v>20248.28</v>
      </c>
      <c r="F31" s="39">
        <f t="shared" si="6"/>
        <v>20141.57</v>
      </c>
      <c r="G31" s="39">
        <f t="shared" si="6"/>
        <v>14464.110000000004</v>
      </c>
      <c r="H31" s="39">
        <f t="shared" si="6"/>
        <v>20791.400000000001</v>
      </c>
      <c r="I31" s="39">
        <f t="shared" si="6"/>
        <v>0</v>
      </c>
      <c r="J31" s="39">
        <f t="shared" si="6"/>
        <v>0</v>
      </c>
      <c r="K31" s="39">
        <f t="shared" si="6"/>
        <v>0</v>
      </c>
      <c r="L31" s="39">
        <f t="shared" si="6"/>
        <v>0</v>
      </c>
      <c r="M31" s="39">
        <f t="shared" si="6"/>
        <v>0</v>
      </c>
      <c r="N31" s="14">
        <f>AVERAGEIF(B31:M31,"&lt;&gt;0")</f>
        <v>17403.305714285718</v>
      </c>
      <c r="O31" s="14">
        <f>MEDIAN(B31:M31)</f>
        <v>13544.045000000002</v>
      </c>
      <c r="P31" s="40">
        <f>SUM(B31:M31)</f>
        <v>121823.14000000001</v>
      </c>
    </row>
  </sheetData>
  <pageMargins left="0.7" right="0.7" top="0.75" bottom="0.75" header="0.3" footer="0.3"/>
  <pageSetup horizontalDpi="0" orientation="portrait" paperSize="9"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Taulo Pedersen</dc:creator>
  <cp:lastModifiedBy>Thomas Taulo Pedersen</cp:lastModifiedBy>
  <dcterms:created xsi:type="dcterms:W3CDTF">2026-08-08T17:44:32Z</dcterms:created>
  <dcterms:modified xsi:type="dcterms:W3CDTF">2026-08-10T13:47:46Z</dcterms:modified>
</cp:coreProperties>
</file>