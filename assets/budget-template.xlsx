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taulo/GolandProjects/budgetpipe/assets/"/>
    </mc:Choice>
  </mc:AlternateContent>
  <xr:revisionPtr revIDLastSave="0" documentId="13_ncr:1_{D3FE1EA2-98D3-2B4D-ACC8-8BFC8362D54B}" xr6:coauthVersionLast="47" xr6:coauthVersionMax="47" xr10:uidLastSave="{00000000-0000-0000-0000-000000000000}"/>
  <bookViews>
    <workbookView xWindow="0" yWindow="600" windowWidth="28800" windowHeight="17400" xr2:uid="{00000000-000D-0000-FFFF-FFFF00000000}"/>
  </bookViews>
  <sheets>
    <sheet name="Sheet1" sheetId="2" r:id="rId1"/>
  </sheets>
  <definedNames>
    <definedName name="LastCol">COUNTA(#REF!)+1</definedName>
    <definedName name="PrintArea_SET">OFFSET(#REF!,,,MATCH(REPT("z",255),#REF!),LastCol)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C37" i="2"/>
  <c r="D37" i="2"/>
  <c r="E37" i="2"/>
  <c r="F37" i="2"/>
  <c r="G37" i="2"/>
  <c r="H37" i="2"/>
  <c r="I37" i="2"/>
  <c r="J37" i="2"/>
  <c r="N37" i="2"/>
  <c r="M37" i="2"/>
  <c r="L37" i="2"/>
  <c r="K37" i="2"/>
  <c r="Q36" i="2"/>
  <c r="Q37" i="2" s="1"/>
  <c r="P36" i="2"/>
  <c r="P37" i="2" s="1"/>
  <c r="O36" i="2"/>
  <c r="O37" i="2" s="1"/>
  <c r="N33" i="2"/>
  <c r="M33" i="2"/>
  <c r="L33" i="2"/>
  <c r="K33" i="2"/>
  <c r="J33" i="2"/>
  <c r="I33" i="2"/>
  <c r="H33" i="2"/>
  <c r="G33" i="2"/>
  <c r="F33" i="2"/>
  <c r="E33" i="2"/>
  <c r="D33" i="2"/>
  <c r="C33" i="2"/>
  <c r="Q32" i="2"/>
  <c r="P32" i="2"/>
  <c r="O32" i="2"/>
  <c r="Q31" i="2"/>
  <c r="P31" i="2"/>
  <c r="O31" i="2"/>
  <c r="Q30" i="2"/>
  <c r="P30" i="2"/>
  <c r="O30" i="2"/>
  <c r="Q29" i="2"/>
  <c r="P29" i="2"/>
  <c r="O29" i="2"/>
  <c r="Q28" i="2"/>
  <c r="P28" i="2"/>
  <c r="O28" i="2"/>
  <c r="Q27" i="2"/>
  <c r="P27" i="2"/>
  <c r="O27" i="2"/>
  <c r="Q26" i="2"/>
  <c r="P26" i="2"/>
  <c r="O26" i="2"/>
  <c r="Q25" i="2"/>
  <c r="P25" i="2"/>
  <c r="O25" i="2"/>
  <c r="Q24" i="2"/>
  <c r="P24" i="2"/>
  <c r="O24" i="2"/>
  <c r="Q23" i="2"/>
  <c r="Q33" i="2" s="1"/>
  <c r="P23" i="2"/>
  <c r="O23" i="2"/>
  <c r="N21" i="2"/>
  <c r="N40" i="2" s="1"/>
  <c r="M21" i="2"/>
  <c r="M40" i="2" s="1"/>
  <c r="L21" i="2"/>
  <c r="L40" i="2" s="1"/>
  <c r="K21" i="2"/>
  <c r="K40" i="2" s="1"/>
  <c r="J21" i="2"/>
  <c r="I21" i="2"/>
  <c r="H21" i="2"/>
  <c r="G21" i="2"/>
  <c r="F21" i="2"/>
  <c r="E21" i="2"/>
  <c r="D21" i="2"/>
  <c r="C21" i="2"/>
  <c r="Q20" i="2"/>
  <c r="P20" i="2"/>
  <c r="O20" i="2"/>
  <c r="Q19" i="2"/>
  <c r="P19" i="2"/>
  <c r="O19" i="2"/>
  <c r="Q18" i="2"/>
  <c r="P18" i="2"/>
  <c r="O18" i="2"/>
  <c r="Q17" i="2"/>
  <c r="P17" i="2"/>
  <c r="O17" i="2"/>
  <c r="Q16" i="2"/>
  <c r="P16" i="2"/>
  <c r="O16" i="2"/>
  <c r="Q15" i="2"/>
  <c r="P15" i="2"/>
  <c r="O15" i="2"/>
  <c r="Q14" i="2"/>
  <c r="P14" i="2"/>
  <c r="O14" i="2"/>
  <c r="Q13" i="2"/>
  <c r="P13" i="2"/>
  <c r="O13" i="2"/>
  <c r="Q12" i="2"/>
  <c r="P12" i="2"/>
  <c r="O12" i="2"/>
  <c r="N9" i="2"/>
  <c r="N41" i="2" s="1"/>
  <c r="M9" i="2"/>
  <c r="M41" i="2" s="1"/>
  <c r="L9" i="2"/>
  <c r="L41" i="2" s="1"/>
  <c r="K9" i="2"/>
  <c r="K41" i="2" s="1"/>
  <c r="J9" i="2"/>
  <c r="J41" i="2" s="1"/>
  <c r="I9" i="2"/>
  <c r="I41" i="2" s="1"/>
  <c r="H9" i="2"/>
  <c r="H41" i="2" s="1"/>
  <c r="G9" i="2"/>
  <c r="G41" i="2" s="1"/>
  <c r="F9" i="2"/>
  <c r="F41" i="2" s="1"/>
  <c r="E9" i="2"/>
  <c r="E41" i="2" s="1"/>
  <c r="D9" i="2"/>
  <c r="D41" i="2" s="1"/>
  <c r="C9" i="2"/>
  <c r="C41" i="2" s="1"/>
  <c r="Q8" i="2"/>
  <c r="P8" i="2"/>
  <c r="O8" i="2"/>
  <c r="Q7" i="2"/>
  <c r="P7" i="2"/>
  <c r="O7" i="2"/>
  <c r="O9" i="2" s="1"/>
  <c r="Q6" i="2"/>
  <c r="P6" i="2"/>
  <c r="O6" i="2"/>
  <c r="O33" i="2" l="1"/>
  <c r="P33" i="2"/>
  <c r="J40" i="2"/>
  <c r="I40" i="2"/>
  <c r="H40" i="2"/>
  <c r="G40" i="2"/>
  <c r="F40" i="2"/>
  <c r="E40" i="2"/>
  <c r="D40" i="2"/>
  <c r="O21" i="2"/>
  <c r="C40" i="2"/>
  <c r="Q21" i="2"/>
  <c r="P21" i="2"/>
  <c r="P9" i="2"/>
  <c r="Q9" i="2"/>
  <c r="G43" i="2"/>
  <c r="G44" i="2"/>
  <c r="F43" i="2"/>
  <c r="F44" i="2"/>
  <c r="E43" i="2"/>
  <c r="E44" i="2"/>
  <c r="D43" i="2"/>
  <c r="D44" i="2"/>
  <c r="P40" i="2"/>
  <c r="C43" i="2"/>
  <c r="Q40" i="2"/>
  <c r="N43" i="2"/>
  <c r="N44" i="2"/>
  <c r="M43" i="2"/>
  <c r="M44" i="2"/>
  <c r="L43" i="2"/>
  <c r="L44" i="2"/>
  <c r="K43" i="2"/>
  <c r="K44" i="2"/>
  <c r="J43" i="2"/>
  <c r="J44" i="2"/>
  <c r="I43" i="2"/>
  <c r="I44" i="2"/>
  <c r="H43" i="2"/>
  <c r="H44" i="2"/>
  <c r="O41" i="2"/>
  <c r="Q41" i="2"/>
  <c r="P41" i="2"/>
  <c r="O40" i="2" l="1"/>
  <c r="C44" i="2"/>
  <c r="P43" i="2"/>
  <c r="O43" i="2"/>
  <c r="Q43" i="2"/>
  <c r="O44" i="2"/>
  <c r="P44" i="2" l="1"/>
  <c r="Q44" i="2"/>
</calcChain>
</file>

<file path=xl/sharedStrings.xml><?xml version="1.0" encoding="utf-8"?>
<sst xmlns="http://schemas.openxmlformats.org/spreadsheetml/2006/main" count="120" uniqueCount="53">
  <si>
    <t>REVENUE</t>
  </si>
  <si>
    <t>INCOME</t>
  </si>
  <si>
    <t>JAN</t>
  </si>
  <si>
    <t>FEB</t>
  </si>
  <si>
    <t>MAR</t>
  </si>
  <si>
    <t>APR</t>
  </si>
  <si>
    <t>MAY</t>
  </si>
  <si>
    <t>JUN</t>
  </si>
  <si>
    <t>JUL</t>
  </si>
  <si>
    <t>AUG</t>
  </si>
  <si>
    <t>SEP</t>
  </si>
  <si>
    <t>OCT</t>
  </si>
  <si>
    <t>NOV</t>
  </si>
  <si>
    <t>DEC</t>
  </si>
  <si>
    <t>SPARKLINE</t>
  </si>
  <si>
    <t>Total</t>
  </si>
  <si>
    <t>EXPENSES</t>
  </si>
  <si>
    <t>TOTALS</t>
  </si>
  <si>
    <t>Total expenses</t>
  </si>
  <si>
    <t>FIXED</t>
  </si>
  <si>
    <t>VARIABLE</t>
  </si>
  <si>
    <t>Husleje</t>
  </si>
  <si>
    <t>A-kasse</t>
  </si>
  <si>
    <t>Internet og Telefon</t>
  </si>
  <si>
    <t>Varme (kredsløb)</t>
  </si>
  <si>
    <t>Fitness</t>
  </si>
  <si>
    <t>El (NRGI)</t>
  </si>
  <si>
    <t>Vand (Aarhus vand)</t>
  </si>
  <si>
    <t>Abonnementer</t>
  </si>
  <si>
    <t>Indboforsikring</t>
  </si>
  <si>
    <t>Dagligvarer</t>
  </si>
  <si>
    <t>Byen / Cafe</t>
  </si>
  <si>
    <t>Transport</t>
  </si>
  <si>
    <t>Andet (Overførelse)</t>
  </si>
  <si>
    <t>Andet (Diverse)</t>
  </si>
  <si>
    <t>Takeaway / fast food</t>
  </si>
  <si>
    <t>Cykel (reparationer, udstyr mv.)</t>
  </si>
  <si>
    <t>Bøger</t>
  </si>
  <si>
    <t>Tøj, sko og accessories</t>
  </si>
  <si>
    <t>Ferie</t>
  </si>
  <si>
    <t>Løn</t>
  </si>
  <si>
    <t>Overførelser</t>
  </si>
  <si>
    <t>Diverse</t>
  </si>
  <si>
    <t>INVESTMENT</t>
  </si>
  <si>
    <t>Indskud til Nordnet</t>
  </si>
  <si>
    <t>AVG</t>
  </si>
  <si>
    <t>MED</t>
  </si>
  <si>
    <t>TOTAL</t>
  </si>
  <si>
    <t>Total revenue</t>
  </si>
  <si>
    <t>OTHER</t>
  </si>
  <si>
    <t>Net Cash Flow</t>
  </si>
  <si>
    <t>Net Cash Flow incl. Investments</t>
  </si>
  <si>
    <t xml:space="preserve">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</si>
</sst>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0.00\ &quot;kr.&quot;_-;\-* #,##0.00\ &quot;kr.&quot;_-;_-* &quot;-&quot;??\ &quot;kr.&quot;_-;_-@_-"/>
    <numFmt numFmtId="164" formatCode="&quot;$&quot;#,##0.00"/>
  </numFmts>
  <fonts count="15">
    <font>
      <sz val="10"/>
      <color theme="1" tint="0.14993743705557422"/>
      <name val="verdana"/>
      <family val="2"/>
      <scheme val="minor"/>
    </font>
    <font>
      <sz val="12"/>
      <color theme="1"/>
      <name val="verdana"/>
      <family val="2"/>
      <scheme val="minor"/>
    </font>
    <font>
      <b/>
      <sz val="10"/>
      <color theme="1" tint="0.14990691854609822"/>
      <name val="Gill Sans MT"/>
      <family val="2"/>
      <scheme val="major"/>
    </font>
    <font>
      <sz val="11"/>
      <color theme="1" tint="0.14993743705557422"/>
      <name val="Gill Sans MT"/>
      <family val="2"/>
      <scheme val="major"/>
    </font>
    <font>
      <sz val="22"/>
      <color theme="1" tint="0.14993743705557422"/>
      <name val="Gill Sans MT"/>
      <family val="2"/>
      <scheme val="major"/>
    </font>
    <font>
      <sz val="14"/>
      <color theme="0"/>
      <name val="Gill Sans MT"/>
      <family val="2"/>
      <scheme val="major"/>
    </font>
    <font>
      <sz val="11"/>
      <color theme="0"/>
      <name val="verdana"/>
      <family val="2"/>
      <scheme val="minor"/>
    </font>
    <font>
      <sz val="11"/>
      <color theme="1" tint="0.14993743705557422"/>
      <name val="verdana"/>
      <family val="2"/>
      <scheme val="minor"/>
    </font>
    <font>
      <sz val="72"/>
      <color theme="5" tint="-0.499984740745262"/>
      <name val="Gill Sans MT"/>
      <family val="2"/>
      <scheme val="major"/>
    </font>
    <font>
      <sz val="14"/>
      <color theme="1" tint="0.14993743705557422"/>
      <name val="Gill Sans MT"/>
      <family val="2"/>
      <scheme val="major"/>
    </font>
    <font>
      <sz val="18"/>
      <color theme="1" tint="0.14993743705557422"/>
      <name val="Gill Sans MT"/>
      <family val="2"/>
      <scheme val="major"/>
    </font>
    <font>
      <sz val="14"/>
      <name val="Gill Sans MT"/>
      <family val="2"/>
      <scheme val="major"/>
    </font>
    <font>
      <sz val="10"/>
      <color theme="1" tint="0.14993743705557422"/>
      <name val="verdana"/>
      <family val="2"/>
      <scheme val="minor"/>
    </font>
    <font>
      <sz val="12"/>
      <color theme="0"/>
      <name val="verdana"/>
      <family val="2"/>
      <scheme val="minor"/>
    </font>
    <font>
      <sz val="16"/>
      <color theme="0"/>
      <name val="Gill Sans MT"/>
      <family val="2"/>
      <scheme val="major"/>
    </font>
  </fonts>
  <fills count="14">
    <fill>
      <patternFill patternType="none"/>
    </fill>
    <fill>
      <patternFill patternType="gray125"/>
    </fill>
    <fill>
      <gradientFill degree="90">
        <stop position="0">
          <color theme="0"/>
        </stop>
        <stop position="1">
          <color theme="5" tint="0.80001220740379042"/>
        </stop>
      </gradientFill>
    </fill>
    <fill>
      <patternFill patternType="solid">
        <fgColor theme="4"/>
        <bgColor indexed="64"/>
      </patternFill>
    </fill>
    <fill>
      <patternFill patternType="solid">
        <fgColor theme="0"/>
        <bgColor auto="1"/>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F7F7"/>
        <bgColor indexed="64"/>
      </patternFill>
    </fill>
    <fill>
      <patternFill patternType="solid">
        <fgColor rgb="FF007F80"/>
        <bgColor indexed="64"/>
      </patternFill>
    </fill>
    <fill>
      <patternFill patternType="solid">
        <fgColor theme="4"/>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3"/>
      </patternFill>
    </fill>
  </fills>
  <borders count="2">
    <border>
      <left/>
      <right/>
      <top/>
      <bottom/>
      <diagonal/>
    </border>
    <border>
      <left/>
      <right/>
      <top/>
      <bottom style="medium">
        <color theme="4" tint="-0.24994659260841701"/>
      </bottom>
      <diagonal/>
    </border>
  </borders>
  <cellStyleXfs count="11">
    <xf numFmtId="0" fontId="0" fillId="7" borderId="0">
      <alignment vertical="center"/>
    </xf>
    <xf numFmtId="0" fontId="4" fillId="0" borderId="0" applyNumberFormat="0" applyFill="0" applyProtection="0">
      <alignment vertical="center"/>
    </xf>
    <xf numFmtId="0" fontId="3" fillId="0" borderId="1" applyNumberFormat="0" applyFill="0" applyProtection="0">
      <alignment vertical="center"/>
    </xf>
    <xf numFmtId="0" fontId="2" fillId="4" borderId="0" applyNumberFormat="0" applyProtection="0">
      <alignment horizontal="left" vertical="center" indent="1"/>
    </xf>
    <xf numFmtId="0" fontId="2" fillId="2" borderId="0" applyNumberFormat="0" applyProtection="0">
      <alignment vertical="center"/>
    </xf>
    <xf numFmtId="44" fontId="12" fillId="0" borderId="0" applyFont="0" applyFill="0" applyBorder="0" applyAlignment="0" applyProtection="0"/>
    <xf numFmtId="0" fontId="13" fillId="9" borderId="0" applyNumberFormat="0" applyBorder="0" applyAlignment="0" applyProtection="0"/>
    <xf numFmtId="0" fontId="13"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3" fillId="13" borderId="0" applyNumberFormat="0" applyBorder="0" applyAlignment="0" applyProtection="0"/>
  </cellStyleXfs>
  <cellXfs count="42">
    <xf numFmtId="0" fontId="0" fillId="7" borderId="0" xfId="0">
      <alignment vertical="center"/>
    </xf>
    <xf numFmtId="0" fontId="7" fillId="6" borderId="0" xfId="0" applyFont="1" applyFill="1">
      <alignment vertical="center"/>
    </xf>
    <xf numFmtId="0" fontId="7" fillId="0" borderId="0" xfId="0" applyFont="1" applyFill="1">
      <alignment vertical="center"/>
    </xf>
    <xf numFmtId="0" fontId="0" fillId="6" borderId="0" xfId="0" applyFill="1" applyAlignment="1"/>
    <xf numFmtId="0" fontId="0" fillId="6" borderId="0" xfId="0" applyFill="1">
      <alignment vertical="center"/>
    </xf>
    <xf numFmtId="0" fontId="0" fillId="6" borderId="0" xfId="0" applyFill="1" applyAlignment="1">
      <alignment horizontal="right" vertical="center"/>
    </xf>
    <xf numFmtId="0" fontId="7" fillId="6" borderId="0" xfId="0" applyFont="1" applyFill="1" applyAlignment="1"/>
    <xf numFmtId="0" fontId="7" fillId="7" borderId="0" xfId="0" applyFont="1" applyAlignment="1">
      <alignment horizontal="left" vertical="center" indent="1"/>
    </xf>
    <xf numFmtId="164" fontId="7" fillId="7" borderId="0" xfId="0" applyNumberFormat="1" applyFont="1" applyAlignment="1">
      <alignment horizontal="right" vertical="center"/>
    </xf>
    <xf numFmtId="0" fontId="7" fillId="7" borderId="0" xfId="0" applyFont="1" applyAlignment="1">
      <alignment horizontal="right" vertical="center"/>
    </xf>
    <xf numFmtId="0" fontId="9" fillId="6" borderId="0" xfId="0" applyFont="1" applyFill="1" applyAlignment="1"/>
    <xf numFmtId="0" fontId="11" fillId="6" borderId="0" xfId="0" applyFont="1" applyFill="1" applyAlignment="1"/>
    <xf numFmtId="0" fontId="11" fillId="7" borderId="0" xfId="0" applyFont="1" applyAlignment="1">
      <alignment horizontal="left" vertical="center" indent="1"/>
    </xf>
    <xf numFmtId="0" fontId="0" fillId="0" borderId="0" xfId="0" applyFill="1">
      <alignment vertical="center"/>
    </xf>
    <xf numFmtId="0" fontId="11" fillId="0" borderId="0" xfId="0" applyFont="1" applyFill="1">
      <alignment vertical="center"/>
    </xf>
    <xf numFmtId="0" fontId="9" fillId="0" borderId="0" xfId="0" applyFont="1" applyFill="1">
      <alignment vertical="center"/>
    </xf>
    <xf numFmtId="0" fontId="10" fillId="6" borderId="0" xfId="0" applyFont="1" applyFill="1" applyAlignment="1"/>
    <xf numFmtId="0" fontId="5" fillId="3" borderId="0" xfId="2" applyFont="1" applyFill="1" applyBorder="1" applyAlignment="1">
      <alignment horizontal="right" vertical="center" indent="1"/>
    </xf>
    <xf numFmtId="0" fontId="5" fillId="3" borderId="0" xfId="2" applyFont="1" applyFill="1" applyBorder="1" applyAlignment="1">
      <alignment horizontal="right" vertical="center"/>
    </xf>
    <xf numFmtId="0" fontId="10" fillId="0" borderId="0" xfId="0" applyFont="1" applyFill="1">
      <alignment vertical="center"/>
    </xf>
    <xf numFmtId="0" fontId="11" fillId="7" borderId="0" xfId="0" applyFont="1" applyAlignment="1">
      <alignment horizontal="right" vertical="center" indent="1"/>
    </xf>
    <xf numFmtId="0" fontId="11" fillId="7" borderId="0" xfId="0" applyFont="1">
      <alignment vertical="center"/>
    </xf>
    <xf numFmtId="44" fontId="7" fillId="7" borderId="0" xfId="5" applyFont="1" applyFill="1" applyAlignment="1">
      <alignment horizontal="right" vertical="center" indent="1"/>
    </xf>
    <xf numFmtId="44" fontId="7" fillId="7" borderId="0" xfId="0" applyNumberFormat="1" applyFont="1" applyAlignment="1">
      <alignment horizontal="right" vertical="center" indent="1"/>
    </xf>
    <xf numFmtId="44" fontId="7" fillId="0" borderId="0" xfId="5" applyFont="1" applyFill="1" applyAlignment="1">
      <alignment horizontal="right" vertical="center"/>
    </xf>
    <xf numFmtId="44" fontId="6" fillId="3" borderId="0" xfId="5" applyFont="1" applyFill="1" applyAlignment="1">
      <alignment horizontal="right" vertical="center" indent="1"/>
    </xf>
    <xf numFmtId="164" fontId="7" fillId="0" borderId="0" xfId="5" applyNumberFormat="1" applyFont="1" applyFill="1" applyAlignment="1">
      <alignment horizontal="right" vertical="center"/>
    </xf>
    <xf numFmtId="0" fontId="13" fillId="9" borderId="0" xfId="6" applyAlignment="1">
      <alignment horizontal="right" vertical="center" indent="1"/>
    </xf>
    <xf numFmtId="44" fontId="13" fillId="9" borderId="0" xfId="6" applyNumberFormat="1" applyAlignment="1">
      <alignment horizontal="right" vertical="center" indent="1"/>
    </xf>
    <xf numFmtId="44" fontId="13" fillId="10" borderId="0" xfId="7" applyNumberFormat="1" applyAlignment="1">
      <alignment horizontal="right" vertical="center" indent="1"/>
    </xf>
    <xf numFmtId="44" fontId="13" fillId="13" borderId="0" xfId="10" applyNumberFormat="1" applyAlignment="1">
      <alignment horizontal="right" vertical="center" indent="1"/>
    </xf>
    <xf numFmtId="0" fontId="13" fillId="13" borderId="0" xfId="10" applyAlignment="1">
      <alignment horizontal="left" vertical="center" indent="1"/>
    </xf>
    <xf numFmtId="164" fontId="13" fillId="13" borderId="0" xfId="10" applyNumberFormat="1" applyAlignment="1">
      <alignment horizontal="right" vertical="center" indent="1"/>
    </xf>
    <xf numFmtId="0" fontId="13" fillId="10" borderId="0" xfId="7" applyAlignment="1">
      <alignment horizontal="left" vertical="center" indent="2"/>
    </xf>
    <xf numFmtId="164" fontId="13" fillId="10" borderId="0" xfId="7" applyNumberFormat="1" applyAlignment="1">
      <alignment horizontal="right" vertical="center" indent="1"/>
    </xf>
    <xf numFmtId="0" fontId="14" fillId="3" borderId="0" xfId="2" applyFont="1" applyFill="1" applyBorder="1" applyAlignment="1">
      <alignment horizontal="left" vertical="center" indent="1"/>
    </xf>
    <xf numFmtId="0" fontId="14" fillId="8" borderId="0" xfId="2" applyFont="1" applyFill="1" applyBorder="1" applyAlignment="1">
      <alignment horizontal="left" vertical="center" indent="1"/>
    </xf>
    <xf numFmtId="0" fontId="1" fillId="12" borderId="0" xfId="9" applyAlignment="1">
      <alignment vertical="center"/>
    </xf>
    <xf numFmtId="0" fontId="1" fillId="11" borderId="0" xfId="8" applyAlignment="1">
      <alignment vertical="center"/>
    </xf>
    <xf numFmtId="0" fontId="1" fillId="12" borderId="0" xfId="9" applyAlignment="1"/>
    <xf numFmtId="0" fontId="13" fillId="9" borderId="0" xfId="6" applyAlignment="1">
      <alignment horizontal="left" vertical="center" indent="1"/>
    </xf>
    <xf numFmtId="0" fontId="8" fillId="5" borderId="0" xfId="1" applyFont="1" applyFill="1" applyAlignment="1">
      <alignment horizontal="left" vertical="center" indent="1"/>
    </xf>
  </cellXfs>
  <cellStyles count="11">
    <cellStyle name="20% - Accent2" xfId="8" builtinId="34"/>
    <cellStyle name="40% - Accent2" xfId="9" builtinId="35"/>
    <cellStyle name="Accent1" xfId="6" builtinId="29"/>
    <cellStyle name="Accent2" xfId="7" builtinId="33"/>
    <cellStyle name="Accent4" xfId="10" builtinId="41" customBuiltin="1"/>
    <cellStyle name="Currency" xfId="5" builtinId="4"/>
    <cellStyle name="Heading 1" xfId="1" builtinId="16" customBuiltin="1"/>
    <cellStyle name="Heading 2" xfId="2" builtinId="17" customBuiltin="1"/>
    <cellStyle name="Heading 3" xfId="3" builtinId="18" customBuiltin="1"/>
    <cellStyle name="Heading 4" xfId="4" builtinId="19" hidden="1" customBuiltin="1"/>
    <cellStyle name="Normal" xfId="0" builtinId="0" customBuiltin="1"/>
  </cellStyles>
  <dxfs count="199">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4"/>
        </patternFill>
      </fill>
      <alignment horizontal="right" vertical="center" textRotation="0" wrapText="0" indent="1" justifyLastLine="0" shrinkToFit="0" readingOrder="0"/>
    </dxf>
    <dxf>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4"/>
        </patternFill>
      </fill>
      <alignment horizontal="right" vertical="center" textRotation="0" wrapText="0" indent="1" justifyLastLine="0" shrinkToFit="0" readingOrder="0"/>
    </dxf>
    <dxf>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4"/>
        </patternFill>
      </fill>
      <alignment horizontal="right" vertical="center" textRotation="0" wrapText="0" indent="1" justifyLastLine="0" shrinkToFit="0" readingOrder="0"/>
    </dxf>
    <dxf>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4"/>
        </patternFill>
      </fill>
      <alignment horizontal="right" vertical="center" textRotation="0" wrapText="0" indent="1" justifyLastLine="0" shrinkToFit="0" readingOrder="0"/>
    </dxf>
    <dxf>
      <alignment horizontal="right" vertical="center" textRotation="0" wrapText="0" indent="1" justifyLastLine="0" shrinkToFit="0" readingOrder="0"/>
    </dxf>
    <dxf>
      <font>
        <strike val="0"/>
        <outline val="0"/>
        <shadow val="0"/>
        <u val="none"/>
        <vertAlign val="baseline"/>
        <sz val="11"/>
        <color theme="0"/>
        <name val="verdana"/>
        <family val="2"/>
        <scheme val="minor"/>
      </font>
      <fill>
        <patternFill patternType="solid">
          <fgColor indexed="64"/>
          <bgColor theme="4"/>
        </patternFill>
      </fill>
      <alignment horizontal="right" vertical="center" textRotation="0" wrapText="0" indent="1" justifyLastLine="0" shrinkToFit="0" readingOrder="0"/>
    </dxf>
    <dxf>
      <alignment horizontal="right" vertical="center" textRotation="0" wrapText="0" indent="1" justifyLastLine="0" shrinkToFit="0" readingOrder="0"/>
    </dxf>
    <dxf>
      <alignment horizontal="right" vertical="center" textRotation="0" wrapText="0" indent="1" justifyLastLine="0" shrinkToFit="0" readingOrder="0"/>
    </dxf>
    <dxf>
      <alignment horizontal="right" vertical="center" textRotation="0" wrapText="0" indent="1" justifyLastLine="0" shrinkToFit="0" readingOrder="0"/>
    </dxf>
    <dxf>
      <alignment horizontal="right" vertical="center" textRotation="0" wrapText="0" indent="1" justifyLastLine="0" shrinkToFit="0" readingOrder="0"/>
    </dxf>
    <dxf>
      <alignment horizontal="right" vertical="center" textRotation="0" wrapText="0" indent="1" justifyLastLine="0" shrinkToFit="0" readingOrder="0"/>
    </dxf>
    <dxf>
      <alignment horizontal="righ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sz val="11"/>
        <color theme="0"/>
        <name val="verdana"/>
        <family val="2"/>
        <scheme val="minor"/>
      </font>
      <fill>
        <patternFill patternType="solid">
          <fgColor indexed="64"/>
          <bgColor theme="1"/>
        </patternFill>
      </fill>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numFmt numFmtId="164" formatCode="&quot;$&quot;#,##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34" formatCode="_-* #,##0.00\ &quot;kr.&quot;_-;\-* #,##0.00\ &quot;kr.&quot;_-;_-* &quot;-&quot;??\ &quot;kr.&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numFmt numFmtId="164" formatCode="&quot;$&quot;#,##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34" formatCode="_-* #,##0.00\ &quot;kr.&quot;_-;\-* #,##0.00\ &quot;kr.&quot;_-;_-* &quot;-&quot;??\ &quot;kr.&quot;_-;_-@_-"/>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34" formatCode="_-* #,##0.00\ &quot;kr.&quot;_-;\-* #,##0.00\ &quot;kr.&quot;_-;_-* &quot;-&quot;??\ &quot;kr.&quot;_-;_-@_-"/>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34" formatCode="_-* #,##0.00\ &quot;kr.&quot;_-;\-* #,##0.00\ &quot;kr.&quot;_-;_-* &quot;-&quot;??\ &quot;kr.&quot;_-;_-@_-"/>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ill>
        <patternFill>
          <bgColor theme="5" tint="0.79998168889431442"/>
        </patternFill>
      </fill>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ont>
        <u val="none"/>
        <color theme="1"/>
      </font>
      <fill>
        <patternFill>
          <fgColor theme="5" tint="0.79998168889431442"/>
          <bgColor theme="5" tint="0.79995117038483843"/>
        </patternFill>
      </fill>
    </dxf>
    <dxf>
      <fill>
        <patternFill>
          <bgColor theme="5" tint="0.39994506668294322"/>
        </patternFill>
      </fill>
    </dxf>
    <dxf>
      <border>
        <vertical style="thin">
          <color theme="5" tint="0.39994506668294322"/>
        </vertical>
        <horizontal style="thin">
          <color theme="5" tint="0.39994506668294322"/>
        </horizontal>
      </border>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fill>
        <patternFill patternType="solid">
          <fgColor theme="6" tint="0.79998168889431442"/>
          <bgColor theme="6" tint="0.79998168889431442"/>
        </patternFill>
      </fill>
    </dxf>
    <dxf>
      <font>
        <b val="0"/>
        <i val="0"/>
        <color theme="6" tint="-0.499984740745262"/>
      </font>
      <fill>
        <patternFill patternType="solid">
          <fgColor theme="6" tint="0.79998168889431442"/>
          <bgColor theme="6" tint="0.79998168889431442"/>
        </patternFill>
      </fill>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border>
        <top style="thin">
          <color theme="6" tint="-0.24994659260841701"/>
        </top>
      </border>
    </dxf>
    <dxf>
      <font>
        <b val="0"/>
        <i val="0"/>
        <color theme="6" tint="-0.499984740745262"/>
      </font>
      <border>
        <bottom style="thin">
          <color theme="6" tint="-0.24994659260841701"/>
        </bottom>
      </border>
    </dxf>
    <dxf>
      <font>
        <b val="0"/>
        <i val="0"/>
        <color theme="6" tint="-0.499984740745262"/>
      </font>
      <border>
        <top style="thin">
          <color theme="6" tint="-0.24994659260841701"/>
        </top>
        <bottom style="thin">
          <color theme="6" tint="-0.24994659260841701"/>
        </bottom>
      </border>
    </dxf>
    <dxf>
      <font>
        <b/>
        <i val="0"/>
        <color theme="5" tint="-0.499984740745262"/>
      </font>
      <fill>
        <patternFill>
          <bgColor theme="5" tint="0.79998168889431442"/>
        </patternFill>
      </fill>
    </dxf>
    <dxf>
      <font>
        <b/>
        <i val="0"/>
        <color theme="5" tint="-0.499984740745262"/>
      </font>
      <fill>
        <patternFill>
          <bgColor theme="5" tint="0.79998168889431442"/>
        </patternFill>
      </fill>
    </dxf>
    <dxf>
      <font>
        <b val="0"/>
        <i val="0"/>
        <color theme="5" tint="-0.499984740745262"/>
      </font>
      <fill>
        <patternFill patternType="solid">
          <fgColor theme="5" tint="0.79998168889431442"/>
          <bgColor theme="5" tint="0.79998168889431442"/>
        </patternFill>
      </fill>
    </dxf>
    <dxf>
      <font>
        <b val="0"/>
        <i val="0"/>
        <color theme="5" tint="-0.499984740745262"/>
      </font>
      <fill>
        <patternFill patternType="solid">
          <fgColor theme="5" tint="0.79998168889431442"/>
          <bgColor theme="5" tint="0.79998168889431442"/>
        </patternFill>
      </fill>
    </dxf>
    <dxf>
      <font>
        <b/>
        <i val="0"/>
        <color theme="5" tint="-0.499984740745262"/>
      </font>
      <fill>
        <patternFill>
          <bgColor theme="5" tint="0.79998168889431442"/>
        </patternFill>
      </fill>
    </dxf>
    <dxf>
      <font>
        <b/>
        <i val="0"/>
        <color theme="5" tint="-0.499984740745262"/>
      </font>
    </dxf>
    <dxf>
      <font>
        <b val="0"/>
        <i val="0"/>
        <color theme="5" tint="-0.499984740745262"/>
      </font>
      <border>
        <top style="thin">
          <color theme="5" tint="-0.24994659260841701"/>
        </top>
      </border>
    </dxf>
    <dxf>
      <font>
        <b val="0"/>
        <i val="0"/>
        <color theme="5" tint="-0.499984740745262"/>
      </font>
      <border>
        <bottom style="thin">
          <color theme="5" tint="-0.24994659260841701"/>
        </bottom>
      </border>
    </dxf>
    <dxf>
      <font>
        <b val="0"/>
        <i val="0"/>
        <color theme="5" tint="-0.499984740745262"/>
      </font>
      <border>
        <top style="thin">
          <color theme="5" tint="-0.24994659260841701"/>
        </top>
        <bottom style="thin">
          <color theme="5" tint="-0.24994659260841701"/>
        </bottom>
      </border>
    </dxf>
    <dxf>
      <font>
        <b/>
        <i val="0"/>
        <color theme="4" tint="-0.499984740745262"/>
      </font>
      <fill>
        <patternFill>
          <bgColor theme="4" tint="0.79998168889431442"/>
        </patternFill>
      </fill>
    </dxf>
    <dxf>
      <font>
        <b/>
        <i val="0"/>
        <color theme="4" tint="-0.499984740745262"/>
      </font>
      <fill>
        <patternFill>
          <bgColor theme="4" tint="0.79998168889431442"/>
        </patternFill>
      </fill>
    </dxf>
    <dxf>
      <font>
        <b val="0"/>
        <i val="0"/>
        <color theme="4" tint="-0.499984740745262"/>
      </font>
      <fill>
        <patternFill>
          <bgColor theme="4" tint="0.79998168889431442"/>
        </patternFill>
      </fill>
    </dxf>
    <dxf>
      <font>
        <b val="0"/>
        <i val="0"/>
        <color theme="4" tint="-0.499984740745262"/>
      </font>
      <fill>
        <patternFill patternType="solid">
          <fgColor theme="4" tint="0.79995117038483843"/>
          <bgColor theme="4" tint="0.79998168889431442"/>
        </patternFill>
      </fill>
    </dxf>
    <dxf>
      <font>
        <b/>
        <i val="0"/>
        <color theme="4" tint="-0.499984740745262"/>
      </font>
      <fill>
        <patternFill>
          <bgColor theme="4" tint="0.79998168889431442"/>
        </patternFill>
      </fill>
    </dxf>
    <dxf>
      <font>
        <b/>
        <i val="0"/>
        <color theme="4" tint="-0.499984740745262"/>
      </font>
    </dxf>
    <dxf>
      <font>
        <b val="0"/>
        <i val="0"/>
        <color theme="4" tint="-0.499984740745262"/>
      </font>
      <fill>
        <patternFill patternType="none">
          <bgColor auto="1"/>
        </patternFill>
      </fill>
      <border>
        <top style="thin">
          <color theme="4" tint="-0.24994659260841701"/>
        </top>
      </border>
    </dxf>
    <dxf>
      <border diagonalUp="0" diagonalDown="0">
        <left/>
        <right/>
        <top/>
        <bottom style="thin">
          <color theme="4" tint="-0.499984740745262"/>
        </bottom>
        <vertical/>
        <horizontal/>
      </border>
    </dxf>
    <dxf>
      <font>
        <b val="0"/>
        <i val="0"/>
        <color theme="4" tint="-0.499984740745262"/>
      </font>
      <border>
        <top style="thin">
          <color theme="4" tint="-0.24994659260841701"/>
        </top>
        <bottom style="thin">
          <color theme="4" tint="-0.24994659260841701"/>
        </bottom>
      </border>
    </dxf>
  </dxfs>
  <tableStyles count="4" defaultTableStyle="Personal Budget - Expense" defaultPivotStyle="PivotStyleLight16">
    <tableStyle name="Persona Budget - Revenue" pivot="0" count="9" xr9:uid="{00000000-0011-0000-FFFF-FFFF00000000}">
      <tableStyleElement type="wholeTable" dxfId="198"/>
      <tableStyleElement type="headerRow" dxfId="197"/>
      <tableStyleElement type="totalRow" dxfId="196"/>
      <tableStyleElement type="firstColumn" dxfId="195"/>
      <tableStyleElement type="lastColumn" dxfId="194"/>
      <tableStyleElement type="firstRowStripe" dxfId="193"/>
      <tableStyleElement type="firstColumnStripe" dxfId="192"/>
      <tableStyleElement type="firstTotalCell" dxfId="191"/>
      <tableStyleElement type="lastTotalCell" dxfId="190"/>
    </tableStyle>
    <tableStyle name="Personal Budget - Expense" pivot="0" count="9" xr9:uid="{00000000-0011-0000-FFFF-FFFF01000000}">
      <tableStyleElement type="wholeTable" dxfId="189"/>
      <tableStyleElement type="headerRow" dxfId="188"/>
      <tableStyleElement type="totalRow" dxfId="187"/>
      <tableStyleElement type="firstColumn" dxfId="186"/>
      <tableStyleElement type="lastColumn" dxfId="185"/>
      <tableStyleElement type="firstRowStripe" dxfId="184"/>
      <tableStyleElement type="firstColumnStripe" dxfId="183"/>
      <tableStyleElement type="firstTotalCell" dxfId="182"/>
      <tableStyleElement type="lastTotalCell" dxfId="181"/>
    </tableStyle>
    <tableStyle name="Personal Budget - Total" pivot="0" count="9" xr9:uid="{00000000-0011-0000-FFFF-FFFF02000000}">
      <tableStyleElement type="wholeTable" dxfId="180"/>
      <tableStyleElement type="headerRow" dxfId="179"/>
      <tableStyleElement type="totalRow" dxfId="178"/>
      <tableStyleElement type="firstColumn" dxfId="177"/>
      <tableStyleElement type="lastColumn" dxfId="176"/>
      <tableStyleElement type="firstRowStripe" dxfId="175"/>
      <tableStyleElement type="firstColumnStripe" dxfId="174"/>
      <tableStyleElement type="firstTotalCell" dxfId="173"/>
      <tableStyleElement type="lastTotalCell" dxfId="172"/>
    </tableStyle>
    <tableStyle name="Table Style 1" pivot="0" count="6" xr9:uid="{456F6818-18F1-E948-8739-F0108FE3AA10}">
      <tableStyleElement type="wholeTable" dxfId="171"/>
      <tableStyleElement type="headerRow" dxfId="170"/>
      <tableStyleElement type="totalRow" dxfId="169"/>
      <tableStyleElement type="firstRowStripe" dxfId="168"/>
      <tableStyleElement type="secondRowStripe" dxfId="167"/>
      <tableStyleElement type="secondColumnStripe" dxfId="166"/>
    </tableStyle>
  </tableStyles>
  <colors>
    <mruColors>
      <color rgb="FFF7F7F7"/>
      <color rgb="FF007F80"/>
      <color rgb="FFF3F8FF"/>
      <color rgb="FFE6F8FA"/>
      <color rgb="FFEFF5FF"/>
      <color rgb="FFD6E8F6"/>
      <color rgb="FFE6E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1C33AF-B39E-7346-82C8-45610BC0ACDD}" name="tblIncome" displayName="tblIncome" ref="B5:R9" totalsRowCount="1" headerRowDxfId="165" dataDxfId="164" totalsRowDxfId="163">
  <tableColumns count="17">
    <tableColumn id="1" xr3:uid="{E570BA2C-7D65-CF4F-AFB0-0208DC5794C9}" name="INCOME" totalsRowLabel="Total" dataDxfId="162" totalsRowDxfId="161"/>
    <tableColumn id="2" xr3:uid="{BF162114-DA3D-4F41-BF11-540DD3FF7370}" name="JAN" totalsRowFunction="sum" dataDxfId="160" totalsRowDxfId="159" dataCellStyle="Currency" totalsRowCellStyle="Currency"/>
    <tableColumn id="3" xr3:uid="{48D8FC93-E610-0940-A046-6BE73F956999}" name="FEB" totalsRowFunction="sum" dataDxfId="158" totalsRowDxfId="157" dataCellStyle="Currency" totalsRowCellStyle="Currency"/>
    <tableColumn id="4" xr3:uid="{CB4ED660-D615-CB45-9AE8-4E35E3B25267}" name="MAR" totalsRowFunction="sum" dataDxfId="156" totalsRowDxfId="155" dataCellStyle="Currency" totalsRowCellStyle="Currency"/>
    <tableColumn id="5" xr3:uid="{2C7038F5-003B-944A-93AE-5A5DDC7A88E6}" name="APR" totalsRowFunction="sum" dataDxfId="154" totalsRowDxfId="153" dataCellStyle="Currency" totalsRowCellStyle="Currency"/>
    <tableColumn id="6" xr3:uid="{19AF71B3-9524-054C-B559-E025CC844888}" name="MAY" totalsRowFunction="sum" dataDxfId="152" totalsRowDxfId="151" dataCellStyle="Currency" totalsRowCellStyle="Currency"/>
    <tableColumn id="7" xr3:uid="{47A8FD50-30FF-A24A-B0A1-A2CD947EDC57}" name="JUN" totalsRowFunction="sum" dataDxfId="150" totalsRowDxfId="149" dataCellStyle="Currency" totalsRowCellStyle="Currency"/>
    <tableColumn id="8" xr3:uid="{E3473B94-303D-F84B-BB99-742CF24969E9}" name="JUL" totalsRowFunction="sum" dataDxfId="148" totalsRowDxfId="147" dataCellStyle="Currency" totalsRowCellStyle="Currency"/>
    <tableColumn id="9" xr3:uid="{5AE9406F-80F6-C547-903E-42F551EA45B8}" name="AUG" totalsRowFunction="sum" dataDxfId="146" totalsRowDxfId="145" dataCellStyle="Currency" totalsRowCellStyle="Currency"/>
    <tableColumn id="10" xr3:uid="{0AC6E44E-37E7-FE4A-9233-FCEC98F84E12}" name="SEP" totalsRowFunction="sum" dataDxfId="144" totalsRowDxfId="143" dataCellStyle="Currency" totalsRowCellStyle="Currency"/>
    <tableColumn id="11" xr3:uid="{115A7209-5306-854C-A9A5-2ABF4F9A4822}" name="OCT" totalsRowFunction="sum" dataDxfId="142" totalsRowDxfId="141" dataCellStyle="Currency" totalsRowCellStyle="Currency"/>
    <tableColumn id="12" xr3:uid="{617B479F-E8D5-CE4D-A6EB-11AB8DE52EA3}" name="NOV" totalsRowFunction="sum" dataDxfId="140" totalsRowDxfId="139" dataCellStyle="Currency" totalsRowCellStyle="Currency"/>
    <tableColumn id="13" xr3:uid="{13A7594F-70B5-894C-B4EC-B5696AC00837}" name="DEC" totalsRowFunction="sum" dataDxfId="138" totalsRowDxfId="137" dataCellStyle="Currency" totalsRowCellStyle="Currency"/>
    <tableColumn id="14" xr3:uid="{18BA2D4B-ADA7-8548-8162-803836A47823}" name="TOTAL" totalsRowFunction="sum" dataDxfId="136" totalsRowDxfId="135" dataCellStyle="Currency" totalsRowCellStyle="Currency">
      <calculatedColumnFormula>SUM(tblIncome[[#This Row],[JAN]:[DEC]])</calculatedColumnFormula>
    </tableColumn>
    <tableColumn id="17" xr3:uid="{C5410515-385A-7D4F-A9CB-44AF95BB9E1E}" name="AVG" totalsRowFunction="sum" dataDxfId="134" totalsRowDxfId="133" dataCellStyle="Currency" totalsRowCellStyle="Currency">
      <calculatedColumnFormula>AVERAGEIF(tblIncome[[#This Row],[JAN]:[DEC]],"&gt;=0")</calculatedColumnFormula>
    </tableColumn>
    <tableColumn id="16" xr3:uid="{259CA5E2-8B26-8F41-89B5-0CFD34C5864A}" name="MED" totalsRowFunction="sum" dataDxfId="132" totalsRowDxfId="131" dataCellStyle="Currency" totalsRowCellStyle="Currency">
      <calculatedColumnFormula>MEDIAN(tblIncome[[#This Row],[JAN]:[DEC]])</calculatedColumnFormula>
    </tableColumn>
    <tableColumn id="15" xr3:uid="{4E49A019-475D-D141-9175-12A1ABA0CF53}" name="SPARKLINE" dataDxfId="130" totalsRowDxfId="129"/>
  </tableColumns>
  <tableStyleInfo name="Table Style 1" showFirstColumn="0" showLastColumn="0" showRowStripes="0" showColumnStripes="1"/>
  <extLst>
    <ext xmlns:x14="http://schemas.microsoft.com/office/spreadsheetml/2009/9/main" uri="{504A1905-F514-4f6f-8877-14C23A59335A}">
      <x14:table altText="Income" altTextSummary="Enter your income for the year."/>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404086-D07C-FE4E-83EA-A9FDEAB39396}" name="tblFixed" displayName="tblFixed" ref="B11:R21" totalsRowCount="1" headerRowDxfId="128" dataDxfId="127" totalsRowDxfId="126">
  <tableColumns count="17">
    <tableColumn id="1" xr3:uid="{7218B040-B89C-704E-89B6-F95A0FB36621}" name="FIXED" totalsRowLabel="Total" dataDxfId="125" totalsRowDxfId="124"/>
    <tableColumn id="2" xr3:uid="{B792F60A-FDCF-674D-AF06-1A5C81AFC928}" name="JAN" totalsRowFunction="sum" dataDxfId="123" totalsRowDxfId="122" dataCellStyle="Currency"/>
    <tableColumn id="3" xr3:uid="{C3483CFC-04D9-B84E-AD02-8D75D7AD2364}" name="FEB" totalsRowFunction="sum" dataDxfId="121" totalsRowDxfId="120" dataCellStyle="Currency"/>
    <tableColumn id="4" xr3:uid="{0C3DE67F-5EE2-F940-A4E8-97399F70C4E5}" name="MAR" totalsRowFunction="sum" dataDxfId="119" totalsRowDxfId="118" dataCellStyle="Currency"/>
    <tableColumn id="5" xr3:uid="{2FC596AF-AFC3-904A-9AE1-B2BE0598ECD9}" name="APR" totalsRowFunction="sum" dataDxfId="117" totalsRowDxfId="116" dataCellStyle="Currency"/>
    <tableColumn id="6" xr3:uid="{BEFFCB15-F6CF-6A46-AB60-2B715E9B662D}" name="MAY" totalsRowFunction="sum" dataDxfId="115" totalsRowDxfId="114" dataCellStyle="Currency"/>
    <tableColumn id="7" xr3:uid="{E06EAE62-E7AB-1B4A-94D8-EC8D268D1FAA}" name="JUN" totalsRowFunction="sum" dataDxfId="113" totalsRowDxfId="112" dataCellStyle="Currency"/>
    <tableColumn id="8" xr3:uid="{7483A27D-6A25-3B4C-9616-24C8407AB15E}" name="JUL" totalsRowFunction="sum" dataDxfId="111" totalsRowDxfId="110" dataCellStyle="Currency"/>
    <tableColumn id="9" xr3:uid="{17344A7B-38BE-6C48-8FD0-60731F672BF5}" name="AUG" totalsRowFunction="sum" dataDxfId="109" totalsRowDxfId="108" dataCellStyle="Currency"/>
    <tableColumn id="10" xr3:uid="{61CD3D14-C0C8-0049-BEE4-850E4550453C}" name="SEP" totalsRowFunction="sum" dataDxfId="107" totalsRowDxfId="106" dataCellStyle="Currency"/>
    <tableColumn id="11" xr3:uid="{DA8ECB24-36AF-4A4A-ABB2-FAD060F5506A}" name="OCT" totalsRowFunction="sum" dataDxfId="105" totalsRowDxfId="104" dataCellStyle="Currency"/>
    <tableColumn id="12" xr3:uid="{07934322-743A-434A-AAE2-86BF3E6FB493}" name="NOV" totalsRowFunction="sum" dataDxfId="103" totalsRowDxfId="102" dataCellStyle="Currency"/>
    <tableColumn id="13" xr3:uid="{1FFBBD23-0890-344B-8381-0DD3B4758F0B}" name="DEC" totalsRowFunction="sum" dataDxfId="101" totalsRowDxfId="100" dataCellStyle="Currency"/>
    <tableColumn id="14" xr3:uid="{50A875B2-5D80-5641-AECD-98B17E0DC063}" name="TOTAL" totalsRowFunction="sum" dataDxfId="99" totalsRowDxfId="98" dataCellStyle="Currency">
      <calculatedColumnFormula>SUM(tblFixed[[#This Row],[JAN]:[DEC]])</calculatedColumnFormula>
    </tableColumn>
    <tableColumn id="15" xr3:uid="{CE93D4EA-4453-7C45-A70C-233430B9452C}" name="AVG" totalsRowFunction="sum" dataDxfId="97" totalsRowDxfId="96" dataCellStyle="Currency">
      <calculatedColumnFormula>AVERAGEIF(tblFixed[[#This Row],[JAN]:[DEC]],"&lt;=0")</calculatedColumnFormula>
    </tableColumn>
    <tableColumn id="16" xr3:uid="{CC87E450-EFFE-9A47-8058-E1413EC2CA14}" name="MED" totalsRowFunction="sum" dataDxfId="95" totalsRowDxfId="94" dataCellStyle="Currency">
      <calculatedColumnFormula>MEDIAN(tblFixed[[#This Row],[JAN]:[DEC]])</calculatedColumnFormula>
    </tableColumn>
    <tableColumn id="17" xr3:uid="{2FF721F3-FC7D-E34A-A6AA-092EA0B357BE}" name="SPARKLINE" dataDxfId="93" totalsRowDxfId="92" dataCellStyle="Currency"/>
  </tableColumns>
  <tableStyleInfo name="Table Style 1" showFirstColumn="0" showLastColumn="0" showRowStripes="0" showColumnStripes="1"/>
  <extLst>
    <ext xmlns:x14="http://schemas.microsoft.com/office/spreadsheetml/2009/9/main" uri="{504A1905-F514-4f6f-8877-14C23A59335A}">
      <x14:table altText="Home Expenses" altTextSummary="Enter your home expenses for the year, separated by month."/>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69D38E-6245-AE4B-A792-59BF998FDE54}" name="tblVariable" displayName="tblVariable" ref="B22:R33" totalsRowCount="1" headerRowDxfId="91" dataDxfId="90" totalsRowDxfId="89">
  <tableColumns count="17">
    <tableColumn id="1" xr3:uid="{2DFD2C0E-6649-0444-8936-6E4F63A7A5A6}" name="VARIABLE" totalsRowLabel="Total" dataDxfId="88" totalsRowDxfId="87"/>
    <tableColumn id="2" xr3:uid="{C7391998-5A09-F747-9D32-1884CA05F01B}" name="JAN" totalsRowFunction="sum" dataDxfId="86" totalsRowDxfId="85" dataCellStyle="Currency" totalsRowCellStyle="Currency"/>
    <tableColumn id="3" xr3:uid="{79F17425-6FD5-814B-92D2-04C05281AF39}" name="FEB" totalsRowFunction="sum" dataDxfId="84" totalsRowDxfId="83" dataCellStyle="Currency" totalsRowCellStyle="Currency"/>
    <tableColumn id="4" xr3:uid="{C6ED7F46-941D-3A43-A78F-227BFAF4F9FC}" name="MAR" totalsRowFunction="sum" dataDxfId="82" totalsRowDxfId="81" dataCellStyle="Currency" totalsRowCellStyle="Currency"/>
    <tableColumn id="5" xr3:uid="{61751259-B7E1-FC44-A3CE-F676FBA69A9C}" name="APR" totalsRowFunction="sum" dataDxfId="80" totalsRowDxfId="79" dataCellStyle="Currency" totalsRowCellStyle="Currency"/>
    <tableColumn id="6" xr3:uid="{C91CBF3F-51E4-9D4A-969B-B4985FBFA8C9}" name="MAY" totalsRowFunction="sum" dataDxfId="78" totalsRowDxfId="77" dataCellStyle="Currency" totalsRowCellStyle="Currency"/>
    <tableColumn id="7" xr3:uid="{E5282557-60B1-8F4A-89E0-DC7406A3FA82}" name="JUN" totalsRowFunction="sum" dataDxfId="76" totalsRowDxfId="75" dataCellStyle="Currency" totalsRowCellStyle="Currency"/>
    <tableColumn id="8" xr3:uid="{AE9104A3-EAEF-6741-A18F-B09EFB42C874}" name="JUL" totalsRowFunction="sum" dataDxfId="74" totalsRowDxfId="73" dataCellStyle="Currency" totalsRowCellStyle="Currency"/>
    <tableColumn id="9" xr3:uid="{EC4D0BF6-4FAE-7F4E-8EBB-D2CD0E28DCB5}" name="AUG" totalsRowFunction="sum" dataDxfId="72" totalsRowDxfId="71" dataCellStyle="Currency" totalsRowCellStyle="Currency"/>
    <tableColumn id="10" xr3:uid="{6DC91D8C-337D-5D49-9E2D-94C5D7267C7E}" name="SEP" totalsRowFunction="sum" dataDxfId="70" totalsRowDxfId="69" dataCellStyle="Currency" totalsRowCellStyle="Currency"/>
    <tableColumn id="11" xr3:uid="{A251B7EE-376C-5F43-A457-9261CE506F3D}" name="OCT" totalsRowFunction="sum" dataDxfId="68" totalsRowDxfId="67" dataCellStyle="Currency" totalsRowCellStyle="Currency"/>
    <tableColumn id="12" xr3:uid="{F5CBFD5A-01B2-A543-B75C-F9CF31C043F8}" name="NOV" totalsRowFunction="sum" dataDxfId="66" totalsRowDxfId="65" dataCellStyle="Currency" totalsRowCellStyle="Currency"/>
    <tableColumn id="13" xr3:uid="{FD758FA9-E23C-ED4A-B63D-54AE803A68C7}" name="DEC" totalsRowFunction="sum" dataDxfId="64" totalsRowDxfId="63" dataCellStyle="Currency" totalsRowCellStyle="Currency"/>
    <tableColumn id="14" xr3:uid="{A640743B-4AC6-E44B-B519-E4E20EDFD578}" name="TOTAL" totalsRowFunction="sum" dataDxfId="62" totalsRowDxfId="61" dataCellStyle="Currency" totalsRowCellStyle="Currency">
      <calculatedColumnFormula>SUM(tblVariable[[#This Row],[JAN]:[DEC]])</calculatedColumnFormula>
    </tableColumn>
    <tableColumn id="15" xr3:uid="{CAF20004-DD01-2845-A797-9EB80A1CA007}" name="AVG" totalsRowFunction="sum" dataDxfId="60" totalsRowDxfId="59" dataCellStyle="Currency" totalsRowCellStyle="Currency">
      <calculatedColumnFormula>AVERAGEIF(tblVariable[[#This Row],[JAN]:[DEC]],"&lt;=0")</calculatedColumnFormula>
    </tableColumn>
    <tableColumn id="17" xr3:uid="{F510BBB5-5E81-6D49-B4F6-7B828907F237}" name="MED" totalsRowFunction="sum" dataDxfId="58" totalsRowDxfId="57" dataCellStyle="Currency" totalsRowCellStyle="Currency">
      <calculatedColumnFormula>MEDIAN(tblVariable[[#This Row],[JAN]:[DEC]])</calculatedColumnFormula>
    </tableColumn>
    <tableColumn id="18" xr3:uid="{5D351838-4696-3B44-8E25-A2783BDE825F}" name="SPARKLINE" dataDxfId="56" totalsRowDxfId="55" dataCellStyle="Currency"/>
  </tableColumns>
  <tableStyleInfo name="Table Style 1" showFirstColumn="0" showLastColumn="0" showRowStripes="0" showColumnStripes="1"/>
  <extLst>
    <ext xmlns:x14="http://schemas.microsoft.com/office/spreadsheetml/2009/9/main" uri="{504A1905-F514-4f6f-8877-14C23A59335A}">
      <x14:table altText="Daily Living Expenses" altTextSummary="Enter your daily living expenses for the year, separated by month."/>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4D96C8-B74E-2946-B4C2-8B65E37B1DEF}" name="tblTotals" displayName="tblTotals" ref="B39:R44" totalsRowShown="0" dataDxfId="54" headerRowCellStyle="Accent1">
  <tableColumns count="17">
    <tableColumn id="1" xr3:uid="{AEB778AB-6508-6F41-B6C8-9970D4E1F6BA}" name="TOTALS" dataDxfId="53" dataCellStyle="Accent4"/>
    <tableColumn id="2" xr3:uid="{ECBCEAF6-76F1-8C49-8B6D-BC553DC21645}" name="JAN" dataDxfId="52" dataCellStyle="Accent1"/>
    <tableColumn id="3" xr3:uid="{79067FA4-519D-0C49-9E35-9B219A5031CF}" name="FEB" dataDxfId="51" dataCellStyle="Accent4"/>
    <tableColumn id="4" xr3:uid="{4D4A12DB-9B30-9B44-84BE-782E42EC825A}" name="MAR" dataDxfId="50" dataCellStyle="Accent1"/>
    <tableColumn id="5" xr3:uid="{C08E6452-7F23-664F-94BF-DDD9A32BF875}" name="APR" dataDxfId="49" dataCellStyle="Accent4"/>
    <tableColumn id="6" xr3:uid="{5349CE7F-D71E-094E-BF5E-C0C2E430AA78}" name="MAY" dataDxfId="48" dataCellStyle="Accent1"/>
    <tableColumn id="7" xr3:uid="{4533C7EC-E932-AB4E-AEFF-73C8B0AFF45E}" name="JUN" dataDxfId="47" dataCellStyle="Accent4"/>
    <tableColumn id="8" xr3:uid="{0B56A8BA-B041-D645-BDA5-905A780D465F}" name="JUL" dataDxfId="46" dataCellStyle="Currency"/>
    <tableColumn id="9" xr3:uid="{B6FE280A-CA81-9D4E-B9FE-ECE79858961B}" name="AUG" dataDxfId="45" dataCellStyle="Accent4"/>
    <tableColumn id="10" xr3:uid="{83009CEE-F18F-BB47-8E88-69730037765C}" name="SEP" dataDxfId="44" dataCellStyle="Currency"/>
    <tableColumn id="11" xr3:uid="{BBC825C3-C5D8-D346-BF3B-7FCA2801F67A}" name="OCT" dataDxfId="43" dataCellStyle="Accent4"/>
    <tableColumn id="12" xr3:uid="{47E0A368-3F1E-9F4E-838A-E3AFC338BC8F}" name="NOV" dataDxfId="42" dataCellStyle="Currency"/>
    <tableColumn id="13" xr3:uid="{E4F0C5A6-CED5-824A-8781-496F8CD1FC39}" name="DEC" dataDxfId="41" dataCellStyle="Accent4"/>
    <tableColumn id="14" xr3:uid="{4D568E1F-E1F5-0C45-9E58-5513807BB8DA}" name="TOTAL" dataDxfId="40" dataCellStyle="Currency"/>
    <tableColumn id="15" xr3:uid="{9358C20A-E879-1E41-845E-C7FE0904F0FA}" name="AVG" dataDxfId="39" dataCellStyle="Accent4"/>
    <tableColumn id="16" xr3:uid="{11488D2F-F7BF-1D4D-93EC-A959FDE33094}" name="MED" dataDxfId="38" dataCellStyle="Currency"/>
    <tableColumn id="17" xr3:uid="{7E795274-ECB2-3E49-916B-8B59D27394A0}" name="SPARKLINE" dataDxfId="37" dataCellStyle="Accent4"/>
  </tableColumns>
  <tableStyleInfo showFirstColumn="1" showLastColumn="0" showRowStripes="0" showColumnStripes="1"/>
  <extLst>
    <ext xmlns:x14="http://schemas.microsoft.com/office/spreadsheetml/2009/9/main" uri="{504A1905-F514-4f6f-8877-14C23A59335A}">
      <x14:table altText="Totals" altTextSummary="View your totals for the year, separated by month."/>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92450C3-516C-E54A-8E9D-60C940989794}" name="tblInvestment" displayName="tblInvestment" ref="B35:R37" totalsRowCount="1" headerRowDxfId="36" dataDxfId="35" totalsRowDxfId="34">
  <tableColumns count="17">
    <tableColumn id="1" xr3:uid="{294014AF-D891-F449-B566-7F4086B30F5D}" name="INVESTMENT" totalsRowLabel="Total" dataDxfId="33" totalsRowDxfId="32"/>
    <tableColumn id="2" xr3:uid="{15C43410-3504-934F-9BE6-940C4BC3EB1C}" name="JAN" totalsRowFunction="sum" dataDxfId="31" totalsRowDxfId="30" dataCellStyle="Currency"/>
    <tableColumn id="3" xr3:uid="{313B1E83-6D0C-3947-AB16-91A5B56D7B46}" name="FEB" totalsRowFunction="sum" dataDxfId="29" totalsRowDxfId="28" dataCellStyle="Currency"/>
    <tableColumn id="4" xr3:uid="{9C5E5D1F-F6CE-2143-99A3-AD994D06E5AF}" name="MAR" totalsRowFunction="sum" dataDxfId="27" totalsRowDxfId="26" dataCellStyle="Currency"/>
    <tableColumn id="5" xr3:uid="{C3E012AE-4AAD-2146-AF94-58319121E8DD}" name="APR" totalsRowFunction="sum" dataDxfId="25" totalsRowDxfId="24" dataCellStyle="Currency"/>
    <tableColumn id="6" xr3:uid="{577F144F-51EC-AB4B-AF91-E945C4A1B2BC}" name="MAY" totalsRowFunction="sum" dataDxfId="23" totalsRowDxfId="22" dataCellStyle="Currency"/>
    <tableColumn id="7" xr3:uid="{DCDB89FE-34A0-4D4E-9201-C3623E2F8896}" name="JUN" totalsRowFunction="sum" dataDxfId="21" totalsRowDxfId="20" dataCellStyle="Currency"/>
    <tableColumn id="8" xr3:uid="{2A44951E-CCCB-0447-91FA-68374BB208D0}" name="JUL" totalsRowFunction="sum" dataDxfId="19" totalsRowDxfId="18" dataCellStyle="Currency"/>
    <tableColumn id="9" xr3:uid="{694F199B-9ABA-D54F-95D4-E62D55AE340D}" name="AUG" totalsRowFunction="sum" dataDxfId="17" totalsRowDxfId="16" dataCellStyle="Currency"/>
    <tableColumn id="10" xr3:uid="{73668DD0-3192-F74F-A607-7282D6844B79}" name="SEP" totalsRowFunction="sum" dataDxfId="15" totalsRowDxfId="14" dataCellStyle="Currency"/>
    <tableColumn id="11" xr3:uid="{D1F09B50-63EF-954F-A630-252B118F69BD}" name="OCT" totalsRowFunction="sum" dataDxfId="13" totalsRowDxfId="12" dataCellStyle="Currency"/>
    <tableColumn id="12" xr3:uid="{32F0E92C-55F7-984F-9A71-48FE200865C7}" name="NOV" totalsRowFunction="sum" dataDxfId="11" totalsRowDxfId="10" dataCellStyle="Currency"/>
    <tableColumn id="13" xr3:uid="{41E80EA4-43CB-B740-99FD-F01662477345}" name="DEC" totalsRowFunction="sum" dataDxfId="9" totalsRowDxfId="8" dataCellStyle="Currency"/>
    <tableColumn id="14" xr3:uid="{3440B9C2-E91C-414C-96C9-BDFF292029FB}" name="TOTAL" totalsRowFunction="sum" dataDxfId="7" totalsRowDxfId="6" dataCellStyle="Currency">
      <calculatedColumnFormula>SUM(tblInvestment[[#This Row],[JAN]:[DEC]])</calculatedColumnFormula>
    </tableColumn>
    <tableColumn id="17" xr3:uid="{87EBC5D5-E6EE-1C40-9266-76AE68FD5A68}" name="AVG" totalsRowFunction="sum" dataDxfId="5" totalsRowDxfId="4" dataCellStyle="Currency">
      <calculatedColumnFormula>AVERAGEIF(tblInvestment[[#This Row],[JAN]:[DEC]],"&gt;=0")</calculatedColumnFormula>
    </tableColumn>
    <tableColumn id="16" xr3:uid="{19F050A6-4569-D54D-B761-D1AA987ED540}" name="MED" totalsRowFunction="sum" dataDxfId="3" totalsRowDxfId="2" dataCellStyle="Currency">
      <calculatedColumnFormula>MEDIAN(tblInvestment[[#This Row],[JAN]:[DEC]])</calculatedColumnFormula>
    </tableColumn>
    <tableColumn id="15" xr3:uid="{898DD70E-5E50-5847-B391-F60D3CE918FB}" name="SPARKLINE" dataDxfId="1" totalsRowDxfId="0"/>
  </tableColumns>
  <tableStyleInfo name="Table Style 1" showFirstColumn="0" showLastColumn="0" showRowStripes="0" showColumnStripes="1"/>
  <extLst>
    <ext xmlns:x14="http://schemas.microsoft.com/office/spreadsheetml/2009/9/main" uri="{504A1905-F514-4f6f-8877-14C23A59335A}">
      <x14:table altText="Income" altTextSummary="Enter your income for the year."/>
    </ext>
  </extLst>
</table>
</file>

<file path=xl/theme/theme1.xml><?xml version="1.0" encoding="utf-8"?>
<a:theme xmlns:a="http://schemas.openxmlformats.org/drawingml/2006/main" name="Office Theme">
  <a:themeElements>
    <a:clrScheme name="TM04035483-v1">
      <a:dk1>
        <a:srgbClr val="000000"/>
      </a:dk1>
      <a:lt1>
        <a:srgbClr val="FFFFFF"/>
      </a:lt1>
      <a:dk2>
        <a:srgbClr val="004C4B"/>
      </a:dk2>
      <a:lt2>
        <a:srgbClr val="E7E6E6"/>
      </a:lt2>
      <a:accent1>
        <a:srgbClr val="007F80"/>
      </a:accent1>
      <a:accent2>
        <a:srgbClr val="B2D8D7"/>
      </a:accent2>
      <a:accent3>
        <a:srgbClr val="FDF8F3"/>
      </a:accent3>
      <a:accent4>
        <a:srgbClr val="FEBF00"/>
      </a:accent4>
      <a:accent5>
        <a:srgbClr val="FFE501"/>
      </a:accent5>
      <a:accent6>
        <a:srgbClr val="836C5A"/>
      </a:accent6>
      <a:hlink>
        <a:srgbClr val="0563C1"/>
      </a:hlink>
      <a:folHlink>
        <a:srgbClr val="954F72"/>
      </a:folHlink>
    </a:clrScheme>
    <a:fontScheme name="Custom 13">
      <a:majorFont>
        <a:latin typeface="Gill Sans MT"/>
        <a:ea typeface=""/>
        <a:cs typeface=""/>
      </a:majorFont>
      <a:minorFont>
        <a:latin typeface="verdan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1B55-1F0E-724E-B364-79BB2AAE95EA}">
  <dimension ref="A1:AK128"/>
  <sheetViews>
    <sheetView tabSelected="1" topLeftCell="A6" zoomScale="56" workbookViewId="0">
      <selection activeCell="G19" sqref="G19"/>
    </sheetView>
  </sheetViews>
  <sheetFormatPr baseColWidth="10" defaultColWidth="8.83203125" defaultRowHeight="13"/>
  <cols>
    <col min="1" max="1" width="6.83203125" style="3" customWidth="1"/>
    <col min="2" max="2" width="38.6640625" style="4" customWidth="1"/>
    <col min="3" max="3" width="19.6640625" style="5" bestFit="1" customWidth="1"/>
    <col min="4" max="4" width="19.6640625" style="5" customWidth="1"/>
    <col min="5" max="8" width="19.6640625" style="5" bestFit="1" customWidth="1"/>
    <col min="9" max="9" width="17.83203125" style="5" bestFit="1" customWidth="1"/>
    <col min="10" max="10" width="19.6640625" style="5" bestFit="1" customWidth="1"/>
    <col min="11" max="14" width="15.83203125" style="5" customWidth="1"/>
    <col min="15" max="15" width="19" style="5" bestFit="1" customWidth="1"/>
    <col min="16" max="16" width="21" style="4" bestFit="1" customWidth="1"/>
    <col min="17" max="17" width="19.5" style="4" bestFit="1" customWidth="1"/>
    <col min="18" max="18" width="30.6640625" style="13" customWidth="1"/>
    <col min="19" max="16384" width="8.83203125" style="13"/>
  </cols>
  <sheetData>
    <row r="1" spans="1:37" ht="35" customHeight="1">
      <c r="R1" s="4"/>
      <c r="S1" s="4"/>
      <c r="T1" s="4"/>
      <c r="U1" s="4"/>
      <c r="V1" s="4"/>
      <c r="W1" s="4"/>
      <c r="X1" s="4"/>
      <c r="Y1" s="4"/>
      <c r="Z1" s="4"/>
      <c r="AA1" s="4"/>
      <c r="AB1" s="4"/>
      <c r="AC1" s="4"/>
      <c r="AD1" s="4"/>
      <c r="AE1" s="4"/>
      <c r="AF1" s="4"/>
      <c r="AG1" s="4"/>
      <c r="AH1" s="4"/>
      <c r="AI1" s="4"/>
      <c r="AJ1" s="4"/>
      <c r="AK1" s="4"/>
    </row>
    <row r="2" spans="1:37" ht="126" customHeight="1">
      <c r="B2" s="41" t="str">
        <f ca="1">"BUDGET "&amp;YEAR(TODAY())</f>
        <v>BUDGET 2026</v>
      </c>
      <c r="C2" s="41"/>
      <c r="D2" s="41"/>
      <c r="E2" s="41"/>
      <c r="F2" s="41"/>
      <c r="G2" s="41"/>
      <c r="H2" s="41"/>
      <c r="I2" s="41"/>
      <c r="J2" s="41"/>
      <c r="K2" s="41"/>
      <c r="L2" s="41"/>
      <c r="M2" s="41"/>
      <c r="N2" s="41"/>
      <c r="O2" s="41"/>
      <c r="P2" s="41"/>
      <c r="Q2" s="38"/>
      <c r="R2" s="38"/>
      <c r="S2" s="4"/>
      <c r="T2" s="4"/>
      <c r="U2" s="4"/>
      <c r="V2" s="4"/>
      <c r="W2" s="4"/>
      <c r="X2" s="4"/>
      <c r="Y2" s="4"/>
      <c r="Z2" s="4"/>
      <c r="AA2" s="4"/>
      <c r="AB2" s="4"/>
      <c r="AC2" s="4"/>
      <c r="AD2" s="4"/>
      <c r="AE2" s="4"/>
      <c r="AF2" s="4"/>
      <c r="AG2" s="4"/>
      <c r="AH2" s="4"/>
      <c r="AI2" s="4"/>
      <c r="AJ2" s="4"/>
      <c r="AK2" s="4"/>
    </row>
    <row r="3" spans="1:37" ht="1" customHeight="1">
      <c r="R3" s="4"/>
      <c r="S3" s="4"/>
      <c r="T3" s="4"/>
      <c r="U3" s="4"/>
      <c r="V3" s="4"/>
      <c r="W3" s="4"/>
      <c r="X3" s="4"/>
      <c r="Y3" s="4"/>
      <c r="Z3" s="4"/>
      <c r="AA3" s="4"/>
      <c r="AB3" s="4"/>
      <c r="AC3" s="4"/>
      <c r="AD3" s="4"/>
      <c r="AE3" s="4"/>
      <c r="AF3" s="4"/>
      <c r="AG3" s="4"/>
      <c r="AH3" s="4"/>
      <c r="AI3" s="4"/>
      <c r="AJ3" s="4"/>
      <c r="AK3" s="4"/>
    </row>
    <row r="4" spans="1:37" s="15" customFormat="1" ht="35" customHeight="1">
      <c r="A4" s="10"/>
      <c r="B4" s="36" t="s">
        <v>0</v>
      </c>
      <c r="C4" s="17"/>
      <c r="D4" s="17"/>
      <c r="E4" s="17"/>
      <c r="F4" s="17"/>
      <c r="G4" s="17"/>
      <c r="H4" s="17"/>
      <c r="I4" s="17"/>
      <c r="J4" s="17"/>
      <c r="K4" s="17"/>
      <c r="L4" s="17"/>
      <c r="M4" s="17"/>
      <c r="N4" s="17"/>
      <c r="O4" s="17"/>
      <c r="P4" s="18"/>
      <c r="Q4" s="18"/>
      <c r="R4" s="18"/>
      <c r="S4" s="4"/>
      <c r="T4" s="4"/>
      <c r="U4" s="4"/>
      <c r="V4" s="4"/>
      <c r="W4" s="4"/>
      <c r="X4" s="4"/>
      <c r="Y4" s="4"/>
      <c r="Z4" s="4"/>
      <c r="AA4" s="4"/>
      <c r="AB4" s="4"/>
      <c r="AC4" s="4"/>
      <c r="AD4" s="4"/>
      <c r="AE4" s="4"/>
      <c r="AF4" s="4"/>
      <c r="AG4" s="4"/>
      <c r="AH4" s="4"/>
      <c r="AI4" s="4"/>
      <c r="AJ4" s="4"/>
      <c r="AK4" s="4"/>
    </row>
    <row r="5" spans="1:37" s="2" customFormat="1" ht="35" customHeight="1">
      <c r="A5" s="6"/>
      <c r="B5" s="12" t="s">
        <v>1</v>
      </c>
      <c r="C5" s="20" t="s">
        <v>2</v>
      </c>
      <c r="D5" s="20" t="s">
        <v>3</v>
      </c>
      <c r="E5" s="20" t="s">
        <v>4</v>
      </c>
      <c r="F5" s="20" t="s">
        <v>5</v>
      </c>
      <c r="G5" s="20" t="s">
        <v>6</v>
      </c>
      <c r="H5" s="20" t="s">
        <v>7</v>
      </c>
      <c r="I5" s="20" t="s">
        <v>8</v>
      </c>
      <c r="J5" s="20" t="s">
        <v>9</v>
      </c>
      <c r="K5" s="20" t="s">
        <v>10</v>
      </c>
      <c r="L5" s="20" t="s">
        <v>11</v>
      </c>
      <c r="M5" s="20" t="s">
        <v>12</v>
      </c>
      <c r="N5" s="20" t="s">
        <v>13</v>
      </c>
      <c r="O5" s="20" t="s">
        <v>47</v>
      </c>
      <c r="P5" s="20" t="s">
        <v>45</v>
      </c>
      <c r="Q5" s="20" t="s">
        <v>46</v>
      </c>
      <c r="R5" s="21" t="s">
        <v>14</v>
      </c>
      <c r="S5" s="4"/>
      <c r="T5" s="4"/>
      <c r="U5" s="4"/>
      <c r="V5" s="4"/>
      <c r="W5" s="4"/>
      <c r="X5" s="4"/>
      <c r="Y5" s="4"/>
      <c r="Z5" s="4"/>
      <c r="AA5" s="4"/>
      <c r="AB5" s="4"/>
      <c r="AC5" s="4"/>
      <c r="AD5" s="4"/>
      <c r="AE5" s="4"/>
      <c r="AF5" s="4"/>
      <c r="AG5" s="4"/>
      <c r="AH5" s="4"/>
      <c r="AI5" s="4"/>
      <c r="AJ5" s="4"/>
      <c r="AK5" s="4"/>
    </row>
    <row r="6" spans="1:37" s="2" customFormat="1" ht="22.25" customHeight="1">
      <c r="A6" s="6"/>
      <c r="B6" s="7" t="s">
        <v>40</v>
      </c>
      <c r="C6" s="22"/>
      <c r="D6" s="22"/>
      <c r="E6" s="22"/>
      <c r="F6" s="22"/>
      <c r="G6" s="22"/>
      <c r="H6" s="22"/>
      <c r="I6" s="22"/>
      <c r="J6" s="22"/>
      <c r="K6" s="22"/>
      <c r="L6" s="22"/>
      <c r="M6" s="22"/>
      <c r="N6" s="22"/>
      <c r="O6" s="22">
        <f>SUM(tblIncome[[#This Row],[JAN]:[DEC]])</f>
        <v>0</v>
      </c>
      <c r="P6" s="22" t="e">
        <f>AVERAGEIF(tblIncome[[#This Row],[JAN]:[DEC]],"&gt;=0")</f>
        <v>#DIV/0!</v>
      </c>
      <c r="Q6" s="22" t="e">
        <f>MEDIAN(tblIncome[[#This Row],[JAN]:[DEC]])</f>
        <v>#NUM!</v>
      </c>
      <c r="R6" s="8"/>
      <c r="S6" s="4"/>
      <c r="T6" s="4"/>
      <c r="U6" s="4"/>
      <c r="V6" s="4"/>
      <c r="W6" s="4"/>
      <c r="X6" s="4"/>
      <c r="Y6" s="4"/>
      <c r="Z6" s="4"/>
      <c r="AA6" s="4"/>
      <c r="AB6" s="4"/>
      <c r="AC6" s="4"/>
      <c r="AD6" s="4"/>
      <c r="AE6" s="4"/>
      <c r="AF6" s="4"/>
      <c r="AG6" s="4"/>
      <c r="AH6" s="4"/>
      <c r="AI6" s="4"/>
      <c r="AJ6" s="4"/>
      <c r="AK6" s="4"/>
    </row>
    <row r="7" spans="1:37" s="2" customFormat="1" ht="22.25" customHeight="1">
      <c r="A7" s="6"/>
      <c r="B7" s="7" t="s">
        <v>41</v>
      </c>
      <c r="C7" s="22"/>
      <c r="D7" s="22"/>
      <c r="E7" s="22"/>
      <c r="F7" s="22"/>
      <c r="G7" s="22"/>
      <c r="H7" s="22"/>
      <c r="I7" s="22"/>
      <c r="J7" s="22"/>
      <c r="K7" s="22"/>
      <c r="L7" s="22"/>
      <c r="M7" s="22"/>
      <c r="N7" s="22"/>
      <c r="O7" s="22">
        <f>SUM(tblIncome[[#This Row],[JAN]:[DEC]])</f>
        <v>0</v>
      </c>
      <c r="P7" s="22" t="e">
        <f>AVERAGEIF(tblIncome[[#This Row],[JAN]:[DEC]],"&gt;=0")</f>
        <v>#DIV/0!</v>
      </c>
      <c r="Q7" s="22" t="e">
        <f>MEDIAN(tblIncome[[#This Row],[JAN]:[DEC]])</f>
        <v>#NUM!</v>
      </c>
      <c r="R7" s="8"/>
      <c r="S7" s="4"/>
      <c r="T7" s="4"/>
      <c r="U7" s="4"/>
      <c r="V7" s="4"/>
      <c r="W7" s="4"/>
      <c r="X7" s="4"/>
      <c r="Y7" s="4"/>
      <c r="Z7" s="4"/>
      <c r="AA7" s="4"/>
      <c r="AB7" s="4"/>
      <c r="AC7" s="4"/>
      <c r="AD7" s="4"/>
      <c r="AE7" s="4"/>
      <c r="AF7" s="4"/>
      <c r="AG7" s="4"/>
      <c r="AH7" s="4"/>
      <c r="AI7" s="4"/>
      <c r="AJ7" s="4"/>
      <c r="AK7" s="4"/>
    </row>
    <row r="8" spans="1:37" s="2" customFormat="1" ht="22.25" customHeight="1">
      <c r="A8" s="6"/>
      <c r="B8" s="7" t="s">
        <v>42</v>
      </c>
      <c r="C8" s="22"/>
      <c r="D8" s="22"/>
      <c r="E8" s="22"/>
      <c r="F8" s="22"/>
      <c r="G8" s="22"/>
      <c r="H8" s="22"/>
      <c r="I8" s="22"/>
      <c r="J8" s="22"/>
      <c r="K8" s="22"/>
      <c r="L8" s="22"/>
      <c r="M8" s="22"/>
      <c r="N8" s="22"/>
      <c r="O8" s="22">
        <f>SUM(tblIncome[[#This Row],[JAN]:[DEC]])</f>
        <v>0</v>
      </c>
      <c r="P8" s="22" t="e">
        <f>AVERAGEIF(tblIncome[[#This Row],[JAN]:[DEC]],"&gt;=0")</f>
        <v>#DIV/0!</v>
      </c>
      <c r="Q8" s="22" t="e">
        <f>MEDIAN(tblIncome[[#This Row],[JAN]:[DEC]])</f>
        <v>#NUM!</v>
      </c>
      <c r="R8" s="8"/>
      <c r="S8" s="4"/>
      <c r="T8" s="4"/>
      <c r="U8" s="4"/>
      <c r="V8" s="4"/>
      <c r="W8" s="4"/>
      <c r="X8" s="4"/>
      <c r="Y8" s="4"/>
      <c r="Z8" s="4"/>
      <c r="AA8" s="4"/>
      <c r="AB8" s="4"/>
      <c r="AC8" s="4"/>
      <c r="AD8" s="4"/>
      <c r="AE8" s="4"/>
      <c r="AF8" s="4"/>
      <c r="AG8" s="4"/>
      <c r="AH8" s="4"/>
      <c r="AI8" s="4"/>
      <c r="AJ8" s="4"/>
      <c r="AK8" s="4"/>
    </row>
    <row r="9" spans="1:37" s="2" customFormat="1" ht="22.25" customHeight="1">
      <c r="A9" s="6"/>
      <c r="B9" s="7" t="s">
        <v>15</v>
      </c>
      <c r="C9" s="22">
        <f>SUBTOTAL(109,tblIncome[JAN])</f>
        <v>0</v>
      </c>
      <c r="D9" s="22">
        <f>SUBTOTAL(109,tblIncome[FEB])</f>
        <v>0</v>
      </c>
      <c r="E9" s="22">
        <f>SUBTOTAL(109,tblIncome[MAR])</f>
        <v>0</v>
      </c>
      <c r="F9" s="22">
        <f>SUBTOTAL(109,tblIncome[APR])</f>
        <v>0</v>
      </c>
      <c r="G9" s="22">
        <f>SUBTOTAL(109,tblIncome[MAY])</f>
        <v>0</v>
      </c>
      <c r="H9" s="22">
        <f>SUBTOTAL(109,tblIncome[JUN])</f>
        <v>0</v>
      </c>
      <c r="I9" s="22">
        <f>SUBTOTAL(109,tblIncome[JUL])</f>
        <v>0</v>
      </c>
      <c r="J9" s="22">
        <f>SUBTOTAL(109,tblIncome[AUG])</f>
        <v>0</v>
      </c>
      <c r="K9" s="22">
        <f>SUBTOTAL(109,tblIncome[SEP])</f>
        <v>0</v>
      </c>
      <c r="L9" s="22">
        <f>SUBTOTAL(109,tblIncome[OCT])</f>
        <v>0</v>
      </c>
      <c r="M9" s="22">
        <f>SUBTOTAL(109,tblIncome[NOV])</f>
        <v>0</v>
      </c>
      <c r="N9" s="22">
        <f>SUBTOTAL(109,tblIncome[DEC])</f>
        <v>0</v>
      </c>
      <c r="O9" s="22">
        <f>SUBTOTAL(109,tblIncome[TOTAL])</f>
        <v>0</v>
      </c>
      <c r="P9" s="22" t="e">
        <f>SUBTOTAL(109,tblIncome[AVG])</f>
        <v>#DIV/0!</v>
      </c>
      <c r="Q9" s="22" t="e">
        <f>SUBTOTAL(109,tblIncome[MED])</f>
        <v>#NUM!</v>
      </c>
      <c r="R9" s="9"/>
      <c r="S9" s="4"/>
      <c r="T9" s="4"/>
      <c r="U9" s="4"/>
      <c r="V9" s="4"/>
      <c r="W9" s="4"/>
      <c r="X9" s="4"/>
      <c r="Y9" s="4"/>
      <c r="Z9" s="4"/>
      <c r="AA9" s="4"/>
      <c r="AB9" s="4"/>
      <c r="AC9" s="4"/>
      <c r="AD9" s="4"/>
      <c r="AE9" s="4"/>
      <c r="AF9" s="4"/>
      <c r="AG9" s="4"/>
      <c r="AH9" s="4"/>
      <c r="AI9" s="4"/>
      <c r="AJ9" s="4"/>
      <c r="AK9" s="4"/>
    </row>
    <row r="10" spans="1:37" s="19" customFormat="1" ht="35" customHeight="1">
      <c r="A10" s="16"/>
      <c r="B10" s="35" t="s">
        <v>16</v>
      </c>
      <c r="C10" s="17"/>
      <c r="D10" s="17"/>
      <c r="E10" s="17"/>
      <c r="F10" s="17"/>
      <c r="G10" s="17"/>
      <c r="H10" s="17"/>
      <c r="I10" s="17"/>
      <c r="J10" s="17"/>
      <c r="K10" s="17"/>
      <c r="L10" s="17"/>
      <c r="M10" s="17"/>
      <c r="N10" s="17"/>
      <c r="O10" s="17"/>
      <c r="P10" s="18"/>
      <c r="Q10" s="17"/>
      <c r="R10" s="18"/>
      <c r="S10" s="4"/>
      <c r="T10" s="4"/>
      <c r="U10" s="4"/>
      <c r="V10" s="4"/>
      <c r="W10" s="4"/>
      <c r="X10" s="4"/>
      <c r="Y10" s="4"/>
      <c r="Z10" s="4"/>
      <c r="AA10" s="4"/>
      <c r="AB10" s="4"/>
      <c r="AC10" s="4"/>
      <c r="AD10" s="4"/>
      <c r="AE10" s="4"/>
      <c r="AF10" s="4"/>
      <c r="AG10" s="4"/>
      <c r="AH10" s="4"/>
      <c r="AI10" s="4"/>
      <c r="AJ10" s="4"/>
      <c r="AK10" s="4"/>
    </row>
    <row r="11" spans="1:37" s="2" customFormat="1" ht="35" customHeight="1">
      <c r="A11" s="6"/>
      <c r="B11" s="12" t="s">
        <v>19</v>
      </c>
      <c r="C11" s="20" t="s">
        <v>2</v>
      </c>
      <c r="D11" s="20" t="s">
        <v>3</v>
      </c>
      <c r="E11" s="20" t="s">
        <v>4</v>
      </c>
      <c r="F11" s="20" t="s">
        <v>5</v>
      </c>
      <c r="G11" s="20" t="s">
        <v>6</v>
      </c>
      <c r="H11" s="20" t="s">
        <v>7</v>
      </c>
      <c r="I11" s="20" t="s">
        <v>8</v>
      </c>
      <c r="J11" s="20" t="s">
        <v>9</v>
      </c>
      <c r="K11" s="20" t="s">
        <v>10</v>
      </c>
      <c r="L11" s="20" t="s">
        <v>11</v>
      </c>
      <c r="M11" s="20" t="s">
        <v>12</v>
      </c>
      <c r="N11" s="20" t="s">
        <v>13</v>
      </c>
      <c r="O11" s="20" t="s">
        <v>47</v>
      </c>
      <c r="P11" s="20" t="s">
        <v>45</v>
      </c>
      <c r="Q11" s="20" t="s">
        <v>46</v>
      </c>
      <c r="R11" s="20" t="s">
        <v>14</v>
      </c>
      <c r="S11" s="4"/>
      <c r="T11" s="4"/>
      <c r="U11" s="4"/>
      <c r="V11" s="4"/>
      <c r="W11" s="4"/>
      <c r="X11" s="4"/>
      <c r="Y11" s="4"/>
      <c r="Z11" s="4"/>
      <c r="AA11" s="4"/>
      <c r="AB11" s="4"/>
      <c r="AC11" s="4"/>
      <c r="AD11" s="4"/>
      <c r="AE11" s="4"/>
      <c r="AF11" s="4"/>
      <c r="AG11" s="4"/>
      <c r="AH11" s="4"/>
      <c r="AI11" s="4"/>
      <c r="AJ11" s="4"/>
      <c r="AK11" s="4"/>
    </row>
    <row r="12" spans="1:37" s="2" customFormat="1" ht="21" customHeight="1">
      <c r="A12" s="6"/>
      <c r="B12" s="7" t="s">
        <v>21</v>
      </c>
      <c r="C12" s="22"/>
      <c r="D12" s="22"/>
      <c r="E12" s="22"/>
      <c r="F12" s="22"/>
      <c r="G12" s="22"/>
      <c r="H12" s="22"/>
      <c r="I12" s="22"/>
      <c r="J12" s="22"/>
      <c r="K12" s="22"/>
      <c r="L12" s="22"/>
      <c r="M12" s="22"/>
      <c r="N12" s="22"/>
      <c r="O12" s="22">
        <f>SUM(tblFixed[[#This Row],[JAN]:[DEC]])</f>
        <v>0</v>
      </c>
      <c r="P12" s="22" t="e">
        <f>AVERAGEIF(tblFixed[[#This Row],[JAN]:[DEC]],"&lt;=0")</f>
        <v>#DIV/0!</v>
      </c>
      <c r="Q12" s="22" t="e">
        <f>MEDIAN(tblFixed[[#This Row],[JAN]:[DEC]])</f>
        <v>#NUM!</v>
      </c>
      <c r="R12" s="8"/>
      <c r="S12" s="4"/>
      <c r="T12" s="4"/>
      <c r="U12" s="4"/>
      <c r="V12" s="4"/>
      <c r="W12" s="4"/>
      <c r="X12" s="4"/>
      <c r="Y12" s="4"/>
      <c r="Z12" s="4"/>
      <c r="AA12" s="4"/>
      <c r="AB12" s="4"/>
      <c r="AC12" s="4"/>
      <c r="AD12" s="4"/>
      <c r="AE12" s="4"/>
      <c r="AF12" s="4"/>
      <c r="AG12" s="4"/>
      <c r="AH12" s="4"/>
      <c r="AI12" s="4"/>
      <c r="AJ12" s="4"/>
      <c r="AK12" s="4"/>
    </row>
    <row r="13" spans="1:37" s="2" customFormat="1" ht="21" customHeight="1">
      <c r="A13" s="6"/>
      <c r="B13" s="7" t="s">
        <v>22</v>
      </c>
      <c r="C13" s="22"/>
      <c r="D13" s="22"/>
      <c r="E13" s="22"/>
      <c r="F13" s="22"/>
      <c r="G13" s="22"/>
      <c r="H13" s="22"/>
      <c r="I13" s="22"/>
      <c r="J13" s="22"/>
      <c r="K13" s="22"/>
      <c r="L13" s="22"/>
      <c r="M13" s="22"/>
      <c r="N13" s="22"/>
      <c r="O13" s="22">
        <f>SUM(tblFixed[[#This Row],[JAN]:[DEC]])</f>
        <v>0</v>
      </c>
      <c r="P13" s="24" t="e">
        <f>AVERAGEIF(tblFixed[[#This Row],[JAN]:[DEC]],"&lt;=0")</f>
        <v>#DIV/0!</v>
      </c>
      <c r="Q13" s="22" t="e">
        <f>MEDIAN(tblFixed[[#This Row],[JAN]:[DEC]])</f>
        <v>#NUM!</v>
      </c>
      <c r="R13" s="26"/>
      <c r="S13" s="4"/>
      <c r="T13" s="4"/>
      <c r="U13" s="4"/>
      <c r="V13" s="4"/>
      <c r="W13" s="4"/>
      <c r="X13" s="4"/>
      <c r="Y13" s="4"/>
      <c r="Z13" s="4"/>
      <c r="AA13" s="4"/>
      <c r="AB13" s="4"/>
      <c r="AC13" s="4"/>
      <c r="AD13" s="4"/>
      <c r="AE13" s="4"/>
      <c r="AF13" s="4"/>
      <c r="AG13" s="4"/>
      <c r="AH13" s="4"/>
      <c r="AI13" s="4"/>
      <c r="AJ13" s="4"/>
      <c r="AK13" s="4"/>
    </row>
    <row r="14" spans="1:37" s="2" customFormat="1" ht="22.25" customHeight="1">
      <c r="A14" s="1"/>
      <c r="B14" s="7" t="s">
        <v>23</v>
      </c>
      <c r="C14" s="22"/>
      <c r="D14" s="22"/>
      <c r="E14" s="22"/>
      <c r="F14" s="22"/>
      <c r="G14" s="22"/>
      <c r="H14" s="22"/>
      <c r="I14" s="22"/>
      <c r="J14" s="22"/>
      <c r="K14" s="22"/>
      <c r="L14" s="22"/>
      <c r="M14" s="22"/>
      <c r="N14" s="22"/>
      <c r="O14" s="22">
        <f>SUM(tblFixed[[#This Row],[JAN]:[DEC]])</f>
        <v>0</v>
      </c>
      <c r="P14" s="24" t="e">
        <f>AVERAGEIF(tblFixed[[#This Row],[JAN]:[DEC]],"&lt;=0")</f>
        <v>#DIV/0!</v>
      </c>
      <c r="Q14" s="22" t="e">
        <f>MEDIAN(tblFixed[[#This Row],[JAN]:[DEC]])</f>
        <v>#NUM!</v>
      </c>
      <c r="R14" s="8"/>
      <c r="S14" s="4"/>
      <c r="T14" s="4"/>
      <c r="U14" s="4"/>
      <c r="V14" s="4"/>
      <c r="W14" s="4"/>
      <c r="X14" s="4"/>
      <c r="Y14" s="4"/>
      <c r="Z14" s="4"/>
      <c r="AA14" s="4"/>
      <c r="AB14" s="4"/>
      <c r="AC14" s="4"/>
      <c r="AD14" s="4"/>
      <c r="AE14" s="4"/>
      <c r="AF14" s="4"/>
      <c r="AG14" s="4"/>
      <c r="AH14" s="4"/>
      <c r="AI14" s="4"/>
      <c r="AJ14" s="4"/>
      <c r="AK14" s="4"/>
    </row>
    <row r="15" spans="1:37" s="2" customFormat="1" ht="22.25" customHeight="1">
      <c r="A15" s="3"/>
      <c r="B15" s="7" t="s">
        <v>24</v>
      </c>
      <c r="C15" s="22"/>
      <c r="D15" s="22"/>
      <c r="E15" s="22"/>
      <c r="F15" s="22"/>
      <c r="G15" s="22"/>
      <c r="H15" s="22"/>
      <c r="I15" s="22"/>
      <c r="J15" s="22"/>
      <c r="K15" s="22"/>
      <c r="L15" s="22"/>
      <c r="M15" s="22"/>
      <c r="N15" s="22"/>
      <c r="O15" s="22">
        <f>SUM(tblFixed[[#This Row],[JAN]:[DEC]])</f>
        <v>0</v>
      </c>
      <c r="P15" s="24" t="e">
        <f>AVERAGEIF(tblFixed[[#This Row],[JAN]:[DEC]],"&lt;=0")</f>
        <v>#DIV/0!</v>
      </c>
      <c r="Q15" s="22" t="e">
        <f>MEDIAN(tblFixed[[#This Row],[JAN]:[DEC]])</f>
        <v>#NUM!</v>
      </c>
      <c r="R15" s="8"/>
      <c r="S15" s="4"/>
      <c r="T15" s="4"/>
      <c r="U15" s="4"/>
      <c r="V15" s="4"/>
      <c r="W15" s="4"/>
      <c r="X15" s="4"/>
      <c r="Y15" s="4"/>
      <c r="Z15" s="4"/>
      <c r="AA15" s="4"/>
      <c r="AB15" s="4"/>
      <c r="AC15" s="4"/>
      <c r="AD15" s="4"/>
      <c r="AE15" s="4"/>
      <c r="AF15" s="4"/>
      <c r="AG15" s="4"/>
      <c r="AH15" s="4"/>
      <c r="AI15" s="4"/>
      <c r="AJ15" s="4"/>
      <c r="AK15" s="4"/>
    </row>
    <row r="16" spans="1:37" ht="22.25" customHeight="1">
      <c r="A16" s="11"/>
      <c r="B16" s="7" t="s">
        <v>25</v>
      </c>
      <c r="C16" s="22"/>
      <c r="D16" s="22"/>
      <c r="E16" s="22"/>
      <c r="F16" s="22"/>
      <c r="G16" s="22"/>
      <c r="H16" s="22"/>
      <c r="I16" s="22"/>
      <c r="J16" s="22"/>
      <c r="K16" s="22"/>
      <c r="L16" s="22"/>
      <c r="M16" s="22"/>
      <c r="N16" s="22"/>
      <c r="O16" s="22">
        <f>SUM(tblFixed[[#This Row],[JAN]:[DEC]])</f>
        <v>0</v>
      </c>
      <c r="P16" s="24" t="e">
        <f>AVERAGEIF(tblFixed[[#This Row],[JAN]:[DEC]],"&lt;=0")</f>
        <v>#DIV/0!</v>
      </c>
      <c r="Q16" s="22" t="e">
        <f>MEDIAN(tblFixed[[#This Row],[JAN]:[DEC]])</f>
        <v>#NUM!</v>
      </c>
      <c r="R16" s="8"/>
      <c r="S16" s="4"/>
      <c r="T16" s="4"/>
      <c r="U16" s="4"/>
      <c r="V16" s="4"/>
      <c r="W16" s="4"/>
      <c r="X16" s="4"/>
      <c r="Y16" s="4"/>
      <c r="Z16" s="4"/>
      <c r="AA16" s="4"/>
      <c r="AB16" s="4"/>
      <c r="AC16" s="4"/>
      <c r="AD16" s="4"/>
      <c r="AE16" s="4"/>
      <c r="AF16" s="4"/>
      <c r="AG16" s="4"/>
      <c r="AH16" s="4"/>
      <c r="AI16" s="4"/>
      <c r="AJ16" s="4"/>
      <c r="AK16" s="4"/>
    </row>
    <row r="17" spans="1:37" s="14" customFormat="1" ht="22" customHeight="1">
      <c r="A17" s="6"/>
      <c r="B17" s="7" t="s">
        <v>26</v>
      </c>
      <c r="C17" s="22"/>
      <c r="D17" s="22"/>
      <c r="E17" s="22"/>
      <c r="F17" s="22"/>
      <c r="G17" s="22"/>
      <c r="H17" s="22"/>
      <c r="I17" s="22"/>
      <c r="J17" s="22"/>
      <c r="K17" s="22"/>
      <c r="L17" s="22"/>
      <c r="M17" s="22"/>
      <c r="N17" s="22"/>
      <c r="O17" s="22">
        <f>SUM(tblFixed[[#This Row],[JAN]:[DEC]])</f>
        <v>0</v>
      </c>
      <c r="P17" s="24" t="e">
        <f>AVERAGEIF(tblFixed[[#This Row],[JAN]:[DEC]],"&lt;=0")</f>
        <v>#DIV/0!</v>
      </c>
      <c r="Q17" s="22" t="e">
        <f>MEDIAN(tblFixed[[#This Row],[JAN]:[DEC]])</f>
        <v>#NUM!</v>
      </c>
      <c r="R17" s="8"/>
      <c r="S17" s="4"/>
      <c r="T17" s="4"/>
      <c r="U17" s="4"/>
      <c r="V17" s="4"/>
      <c r="W17" s="4"/>
      <c r="X17" s="4"/>
      <c r="Y17" s="4"/>
      <c r="Z17" s="4"/>
      <c r="AA17" s="4"/>
      <c r="AB17" s="4"/>
      <c r="AC17" s="4"/>
      <c r="AD17" s="4"/>
      <c r="AE17" s="4"/>
      <c r="AF17" s="4"/>
      <c r="AG17" s="4"/>
      <c r="AH17" s="4"/>
      <c r="AI17" s="4"/>
      <c r="AJ17" s="4"/>
      <c r="AK17" s="4"/>
    </row>
    <row r="18" spans="1:37" s="2" customFormat="1" ht="22" customHeight="1">
      <c r="A18" s="6"/>
      <c r="B18" s="7" t="s">
        <v>27</v>
      </c>
      <c r="C18" s="22"/>
      <c r="D18" s="22"/>
      <c r="E18" s="22"/>
      <c r="F18" s="22"/>
      <c r="G18" s="22"/>
      <c r="H18" s="22"/>
      <c r="I18" s="22"/>
      <c r="J18" s="22"/>
      <c r="K18" s="22"/>
      <c r="L18" s="22"/>
      <c r="M18" s="22"/>
      <c r="N18" s="22"/>
      <c r="O18" s="22">
        <f>SUM(tblFixed[[#This Row],[JAN]:[DEC]])</f>
        <v>0</v>
      </c>
      <c r="P18" s="24" t="e">
        <f>AVERAGEIF(tblFixed[[#This Row],[JAN]:[DEC]],"&lt;=0")</f>
        <v>#DIV/0!</v>
      </c>
      <c r="Q18" s="22" t="e">
        <f>MEDIAN(tblFixed[[#This Row],[JAN]:[DEC]])</f>
        <v>#NUM!</v>
      </c>
      <c r="R18" s="8"/>
      <c r="S18" s="4"/>
      <c r="T18" s="4"/>
      <c r="U18" s="4"/>
      <c r="V18" s="4"/>
      <c r="W18" s="4"/>
      <c r="X18" s="4"/>
      <c r="Y18" s="4"/>
      <c r="Z18" s="4"/>
      <c r="AA18" s="4"/>
      <c r="AB18" s="4"/>
      <c r="AC18" s="4"/>
      <c r="AD18" s="4"/>
      <c r="AE18" s="4"/>
      <c r="AF18" s="4"/>
      <c r="AG18" s="4"/>
      <c r="AH18" s="4"/>
      <c r="AI18" s="4"/>
      <c r="AJ18" s="4"/>
      <c r="AK18" s="4"/>
    </row>
    <row r="19" spans="1:37" s="2" customFormat="1" ht="22.25" customHeight="1">
      <c r="A19" s="6"/>
      <c r="B19" s="7" t="s">
        <v>28</v>
      </c>
      <c r="C19" s="22"/>
      <c r="D19" s="22"/>
      <c r="E19" s="22"/>
      <c r="F19" s="22"/>
      <c r="G19" s="22"/>
      <c r="H19" s="22"/>
      <c r="I19" s="22"/>
      <c r="J19" s="22"/>
      <c r="K19" s="22"/>
      <c r="L19" s="22"/>
      <c r="M19" s="22"/>
      <c r="N19" s="22"/>
      <c r="O19" s="22">
        <f>SUM(tblFixed[[#This Row],[JAN]:[DEC]])</f>
        <v>0</v>
      </c>
      <c r="P19" s="24" t="e">
        <f>AVERAGEIF(tblFixed[[#This Row],[JAN]:[DEC]],"&lt;=0")</f>
        <v>#DIV/0!</v>
      </c>
      <c r="Q19" s="22" t="e">
        <f>MEDIAN(tblFixed[[#This Row],[JAN]:[DEC]])</f>
        <v>#NUM!</v>
      </c>
      <c r="R19" s="8"/>
      <c r="S19" s="4"/>
      <c r="T19" s="4"/>
      <c r="U19" s="4"/>
      <c r="V19" s="4"/>
      <c r="W19" s="4"/>
      <c r="X19" s="4"/>
      <c r="Y19" s="4"/>
      <c r="Z19" s="4"/>
      <c r="AA19" s="4"/>
      <c r="AB19" s="4"/>
      <c r="AC19" s="4"/>
      <c r="AD19" s="4"/>
      <c r="AE19" s="4"/>
      <c r="AF19" s="4"/>
      <c r="AG19" s="4"/>
      <c r="AH19" s="4"/>
      <c r="AI19" s="4"/>
      <c r="AJ19" s="4"/>
      <c r="AK19" s="4"/>
    </row>
    <row r="20" spans="1:37" s="2" customFormat="1" ht="22.25" customHeight="1">
      <c r="A20" s="6"/>
      <c r="B20" s="7" t="s">
        <v>29</v>
      </c>
      <c r="C20" s="22"/>
      <c r="D20" s="22"/>
      <c r="E20" s="22"/>
      <c r="F20" s="22"/>
      <c r="G20" s="22"/>
      <c r="H20" s="22"/>
      <c r="I20" s="22"/>
      <c r="J20" s="22"/>
      <c r="K20" s="22"/>
      <c r="L20" s="22"/>
      <c r="M20" s="22"/>
      <c r="N20" s="22"/>
      <c r="O20" s="22">
        <f>SUM(tblFixed[[#This Row],[JAN]:[DEC]])</f>
        <v>0</v>
      </c>
      <c r="P20" s="24" t="e">
        <f>AVERAGEIF(tblFixed[[#This Row],[JAN]:[DEC]],"&lt;=0")</f>
        <v>#DIV/0!</v>
      </c>
      <c r="Q20" s="22" t="e">
        <f>MEDIAN(tblFixed[[#This Row],[JAN]:[DEC]])</f>
        <v>#NUM!</v>
      </c>
      <c r="R20" s="8"/>
      <c r="S20" s="4"/>
      <c r="T20" s="4"/>
      <c r="U20" s="4"/>
      <c r="V20" s="4"/>
      <c r="W20" s="4"/>
      <c r="X20" s="4"/>
      <c r="Y20" s="4"/>
      <c r="Z20" s="4"/>
      <c r="AA20" s="4"/>
      <c r="AB20" s="4"/>
      <c r="AC20" s="4"/>
      <c r="AD20" s="4"/>
      <c r="AE20" s="4"/>
      <c r="AF20" s="4"/>
      <c r="AG20" s="4"/>
      <c r="AH20" s="4"/>
      <c r="AI20" s="4"/>
      <c r="AJ20" s="4"/>
      <c r="AK20" s="4"/>
    </row>
    <row r="21" spans="1:37" s="2" customFormat="1" ht="22" customHeight="1">
      <c r="A21" s="6"/>
      <c r="B21" s="7" t="s">
        <v>15</v>
      </c>
      <c r="C21" s="23">
        <f>SUBTOTAL(109,tblFixed[JAN])</f>
        <v>0</v>
      </c>
      <c r="D21" s="23">
        <f>SUBTOTAL(109,tblFixed[FEB])</f>
        <v>0</v>
      </c>
      <c r="E21" s="23">
        <f>SUBTOTAL(109,tblFixed[MAR])</f>
        <v>0</v>
      </c>
      <c r="F21" s="23">
        <f>SUBTOTAL(109,tblFixed[APR])</f>
        <v>0</v>
      </c>
      <c r="G21" s="23">
        <f>SUBTOTAL(109,tblFixed[MAY])</f>
        <v>0</v>
      </c>
      <c r="H21" s="23">
        <f>SUBTOTAL(109,tblFixed[JUN])</f>
        <v>0</v>
      </c>
      <c r="I21" s="23">
        <f>SUBTOTAL(109,tblFixed[JUL])</f>
        <v>0</v>
      </c>
      <c r="J21" s="23">
        <f>SUBTOTAL(109,tblFixed[AUG])</f>
        <v>0</v>
      </c>
      <c r="K21" s="23">
        <f>SUBTOTAL(109,tblFixed[SEP])</f>
        <v>0</v>
      </c>
      <c r="L21" s="23">
        <f>SUBTOTAL(109,tblFixed[OCT])</f>
        <v>0</v>
      </c>
      <c r="M21" s="23">
        <f>SUBTOTAL(109,tblFixed[NOV])</f>
        <v>0</v>
      </c>
      <c r="N21" s="23">
        <f>SUBTOTAL(109,tblFixed[DEC])</f>
        <v>0</v>
      </c>
      <c r="O21" s="23">
        <f>SUBTOTAL(109,tblFixed[TOTAL])</f>
        <v>0</v>
      </c>
      <c r="P21" s="23" t="e">
        <f>SUBTOTAL(109,tblFixed[AVG])</f>
        <v>#DIV/0!</v>
      </c>
      <c r="Q21" s="23" t="e">
        <f>SUBTOTAL(109,tblFixed[MED])</f>
        <v>#NUM!</v>
      </c>
      <c r="R21" s="9"/>
      <c r="S21" s="4"/>
      <c r="T21" s="4"/>
      <c r="U21" s="4"/>
      <c r="V21" s="4"/>
      <c r="W21" s="4"/>
      <c r="X21" s="4"/>
      <c r="Y21" s="4"/>
      <c r="Z21" s="4"/>
      <c r="AA21" s="4"/>
      <c r="AB21" s="4"/>
      <c r="AC21" s="4"/>
      <c r="AD21" s="4"/>
      <c r="AE21" s="4"/>
      <c r="AF21" s="4"/>
      <c r="AG21" s="4"/>
      <c r="AH21" s="4"/>
      <c r="AI21" s="4"/>
      <c r="AJ21" s="4"/>
      <c r="AK21" s="4"/>
    </row>
    <row r="22" spans="1:37" s="2" customFormat="1" ht="35" customHeight="1">
      <c r="A22" s="3"/>
      <c r="B22" s="12" t="s">
        <v>20</v>
      </c>
      <c r="C22" s="20" t="s">
        <v>2</v>
      </c>
      <c r="D22" s="20" t="s">
        <v>3</v>
      </c>
      <c r="E22" s="20" t="s">
        <v>4</v>
      </c>
      <c r="F22" s="20" t="s">
        <v>5</v>
      </c>
      <c r="G22" s="20" t="s">
        <v>6</v>
      </c>
      <c r="H22" s="20" t="s">
        <v>7</v>
      </c>
      <c r="I22" s="20" t="s">
        <v>8</v>
      </c>
      <c r="J22" s="20" t="s">
        <v>9</v>
      </c>
      <c r="K22" s="20" t="s">
        <v>10</v>
      </c>
      <c r="L22" s="20" t="s">
        <v>11</v>
      </c>
      <c r="M22" s="20" t="s">
        <v>12</v>
      </c>
      <c r="N22" s="20" t="s">
        <v>13</v>
      </c>
      <c r="O22" s="20" t="s">
        <v>47</v>
      </c>
      <c r="P22" s="20" t="s">
        <v>45</v>
      </c>
      <c r="Q22" s="20" t="s">
        <v>46</v>
      </c>
      <c r="R22" s="20" t="s">
        <v>14</v>
      </c>
      <c r="S22" s="4"/>
      <c r="T22" s="4"/>
      <c r="U22" s="4"/>
      <c r="V22" s="4"/>
      <c r="W22" s="4"/>
      <c r="X22" s="4"/>
      <c r="Y22" s="4"/>
      <c r="Z22" s="4"/>
      <c r="AA22" s="4"/>
      <c r="AB22" s="4"/>
      <c r="AC22" s="4"/>
      <c r="AD22" s="4"/>
      <c r="AE22" s="4"/>
      <c r="AF22" s="4"/>
      <c r="AG22" s="4"/>
      <c r="AH22" s="4"/>
      <c r="AI22" s="4"/>
      <c r="AJ22" s="4"/>
      <c r="AK22" s="4"/>
    </row>
    <row r="23" spans="1:37" ht="22.25" customHeight="1">
      <c r="A23" s="11"/>
      <c r="B23" s="7" t="s">
        <v>30</v>
      </c>
      <c r="C23" s="22"/>
      <c r="D23" s="22"/>
      <c r="E23" s="22"/>
      <c r="F23" s="22"/>
      <c r="G23" s="22"/>
      <c r="H23" s="22"/>
      <c r="I23" s="22"/>
      <c r="J23" s="22"/>
      <c r="K23" s="22"/>
      <c r="L23" s="22"/>
      <c r="M23" s="22"/>
      <c r="N23" s="22"/>
      <c r="O23" s="22">
        <f>SUM(tblVariable[[#This Row],[JAN]:[DEC]])</f>
        <v>0</v>
      </c>
      <c r="P23" s="22" t="e">
        <f>AVERAGEIF(tblVariable[[#This Row],[JAN]:[DEC]],"&lt;=0")</f>
        <v>#DIV/0!</v>
      </c>
      <c r="Q23" s="22" t="e">
        <f>MEDIAN(tblVariable[[#This Row],[JAN]:[DEC]])</f>
        <v>#NUM!</v>
      </c>
      <c r="R23" s="8"/>
      <c r="S23" s="4"/>
      <c r="T23" s="4"/>
      <c r="U23" s="4"/>
      <c r="V23" s="4"/>
      <c r="W23" s="4"/>
      <c r="X23" s="4"/>
      <c r="Y23" s="4"/>
      <c r="Z23" s="4"/>
      <c r="AA23" s="4"/>
      <c r="AB23" s="4"/>
      <c r="AC23" s="4"/>
      <c r="AD23" s="4"/>
      <c r="AE23" s="4"/>
      <c r="AF23" s="4"/>
      <c r="AG23" s="4"/>
      <c r="AH23" s="4"/>
      <c r="AI23" s="4"/>
      <c r="AJ23" s="4"/>
      <c r="AK23" s="4"/>
    </row>
    <row r="24" spans="1:37" s="14" customFormat="1" ht="22.25" customHeight="1">
      <c r="A24" s="6"/>
      <c r="B24" s="7" t="s">
        <v>31</v>
      </c>
      <c r="C24" s="22"/>
      <c r="D24" s="22"/>
      <c r="E24" s="22"/>
      <c r="F24" s="22"/>
      <c r="G24" s="22"/>
      <c r="H24" s="22"/>
      <c r="I24" s="22"/>
      <c r="J24" s="22"/>
      <c r="K24" s="22"/>
      <c r="L24" s="22"/>
      <c r="M24" s="22"/>
      <c r="N24" s="22"/>
      <c r="O24" s="22">
        <f>SUM(tblVariable[[#This Row],[JAN]:[DEC]])</f>
        <v>0</v>
      </c>
      <c r="P24" s="24" t="e">
        <f>AVERAGEIF(tblVariable[[#This Row],[JAN]:[DEC]],"&lt;=0")</f>
        <v>#DIV/0!</v>
      </c>
      <c r="Q24" s="22" t="e">
        <f>MEDIAN(tblVariable[[#This Row],[JAN]:[DEC]])</f>
        <v>#NUM!</v>
      </c>
      <c r="R24" s="8"/>
      <c r="S24" s="4"/>
      <c r="T24" s="4"/>
      <c r="U24" s="4"/>
      <c r="V24" s="4"/>
      <c r="W24" s="4"/>
      <c r="X24" s="4"/>
      <c r="Y24" s="4"/>
      <c r="Z24" s="4"/>
      <c r="AA24" s="4"/>
      <c r="AB24" s="4"/>
      <c r="AC24" s="4"/>
      <c r="AD24" s="4"/>
      <c r="AE24" s="4"/>
      <c r="AF24" s="4"/>
      <c r="AG24" s="4"/>
      <c r="AH24" s="4"/>
      <c r="AI24" s="4"/>
      <c r="AJ24" s="4"/>
      <c r="AK24" s="4"/>
    </row>
    <row r="25" spans="1:37" s="2" customFormat="1" ht="22" customHeight="1">
      <c r="A25" s="6"/>
      <c r="B25" s="7" t="s">
        <v>32</v>
      </c>
      <c r="C25" s="22"/>
      <c r="D25" s="22"/>
      <c r="E25" s="22"/>
      <c r="F25" s="22"/>
      <c r="G25" s="22"/>
      <c r="H25" s="22"/>
      <c r="I25" s="22"/>
      <c r="J25" s="22"/>
      <c r="K25" s="22"/>
      <c r="L25" s="22"/>
      <c r="M25" s="22"/>
      <c r="N25" s="22"/>
      <c r="O25" s="22">
        <f>SUM(tblVariable[[#This Row],[JAN]:[DEC]])</f>
        <v>0</v>
      </c>
      <c r="P25" s="24" t="e">
        <f>AVERAGEIF(tblVariable[[#This Row],[JAN]:[DEC]],"&lt;=0")</f>
        <v>#DIV/0!</v>
      </c>
      <c r="Q25" s="22" t="e">
        <f>MEDIAN(tblVariable[[#This Row],[JAN]:[DEC]])</f>
        <v>#NUM!</v>
      </c>
      <c r="R25" s="8"/>
      <c r="S25" s="4"/>
      <c r="T25" s="4"/>
      <c r="U25" s="4"/>
      <c r="V25" s="4"/>
      <c r="W25" s="4"/>
      <c r="X25" s="4"/>
      <c r="Y25" s="4"/>
      <c r="Z25" s="4"/>
      <c r="AA25" s="4"/>
      <c r="AB25" s="4"/>
      <c r="AC25" s="4"/>
      <c r="AD25" s="4"/>
      <c r="AE25" s="4"/>
      <c r="AF25" s="4"/>
      <c r="AG25" s="4"/>
      <c r="AH25" s="4"/>
      <c r="AI25" s="4"/>
      <c r="AJ25" s="4"/>
      <c r="AK25" s="4"/>
    </row>
    <row r="26" spans="1:37" s="2" customFormat="1" ht="30" customHeight="1">
      <c r="A26" s="6"/>
      <c r="B26" s="7" t="s">
        <v>33</v>
      </c>
      <c r="C26" s="22"/>
      <c r="D26" s="22"/>
      <c r="E26" s="22"/>
      <c r="F26" s="22"/>
      <c r="G26" s="22"/>
      <c r="H26" s="22"/>
      <c r="I26" s="22"/>
      <c r="J26" s="22"/>
      <c r="K26" s="22"/>
      <c r="L26" s="22"/>
      <c r="M26" s="22"/>
      <c r="N26" s="22"/>
      <c r="O26" s="22">
        <f>SUM(tblVariable[[#This Row],[JAN]:[DEC]])</f>
        <v>0</v>
      </c>
      <c r="P26" s="24" t="e">
        <f>AVERAGEIF(tblVariable[[#This Row],[JAN]:[DEC]],"&lt;=0")</f>
        <v>#DIV/0!</v>
      </c>
      <c r="Q26" s="22" t="e">
        <f>MEDIAN(tblVariable[[#This Row],[JAN]:[DEC]])</f>
        <v>#NUM!</v>
      </c>
      <c r="R26" s="8"/>
      <c r="S26" s="4"/>
      <c r="T26" s="4"/>
      <c r="U26" s="4"/>
      <c r="V26" s="4"/>
      <c r="W26" s="4"/>
      <c r="X26" s="4"/>
      <c r="Y26" s="4"/>
      <c r="Z26" s="4"/>
      <c r="AA26" s="4"/>
      <c r="AB26" s="4"/>
      <c r="AC26" s="4"/>
      <c r="AD26" s="4"/>
      <c r="AE26" s="4"/>
      <c r="AF26" s="4"/>
      <c r="AG26" s="4"/>
      <c r="AH26" s="4"/>
      <c r="AI26" s="4"/>
      <c r="AJ26" s="4"/>
      <c r="AK26" s="4"/>
    </row>
    <row r="27" spans="1:37" s="2" customFormat="1" ht="22.25" customHeight="1">
      <c r="A27" s="6"/>
      <c r="B27" s="7" t="s">
        <v>34</v>
      </c>
      <c r="C27" s="22"/>
      <c r="D27" s="22"/>
      <c r="E27" s="22"/>
      <c r="F27" s="22"/>
      <c r="G27" s="22"/>
      <c r="H27" s="22"/>
      <c r="I27" s="22"/>
      <c r="J27" s="22"/>
      <c r="K27" s="22"/>
      <c r="L27" s="22"/>
      <c r="M27" s="22"/>
      <c r="N27" s="22"/>
      <c r="O27" s="22">
        <f>SUM(tblVariable[[#This Row],[JAN]:[DEC]])</f>
        <v>0</v>
      </c>
      <c r="P27" s="24" t="e">
        <f>AVERAGEIF(tblVariable[[#This Row],[JAN]:[DEC]],"&lt;=0")</f>
        <v>#DIV/0!</v>
      </c>
      <c r="Q27" s="22" t="e">
        <f>MEDIAN(tblVariable[[#This Row],[JAN]:[DEC]])</f>
        <v>#NUM!</v>
      </c>
      <c r="R27" s="8"/>
      <c r="S27" s="4"/>
      <c r="T27" s="4"/>
      <c r="U27" s="4"/>
      <c r="V27" s="4"/>
      <c r="W27" s="4"/>
      <c r="X27" s="4"/>
      <c r="Y27" s="4"/>
      <c r="Z27" s="4"/>
      <c r="AA27" s="4"/>
      <c r="AB27" s="4"/>
      <c r="AC27" s="4"/>
      <c r="AD27" s="4"/>
      <c r="AE27" s="4"/>
      <c r="AF27" s="4"/>
      <c r="AG27" s="4"/>
      <c r="AH27" s="4"/>
      <c r="AI27" s="4"/>
      <c r="AJ27" s="4"/>
      <c r="AK27" s="4"/>
    </row>
    <row r="28" spans="1:37" s="2" customFormat="1" ht="22.25" customHeight="1">
      <c r="A28" s="6"/>
      <c r="B28" s="7" t="s">
        <v>35</v>
      </c>
      <c r="C28" s="22"/>
      <c r="D28" s="22"/>
      <c r="E28" s="22"/>
      <c r="F28" s="22"/>
      <c r="G28" s="22"/>
      <c r="H28" s="22"/>
      <c r="I28" s="22"/>
      <c r="J28" s="22"/>
      <c r="K28" s="22"/>
      <c r="L28" s="22"/>
      <c r="M28" s="22"/>
      <c r="N28" s="22"/>
      <c r="O28" s="22">
        <f>SUM(tblVariable[[#This Row],[JAN]:[DEC]])</f>
        <v>0</v>
      </c>
      <c r="P28" s="24" t="e">
        <f>AVERAGEIF(tblVariable[[#This Row],[JAN]:[DEC]],"&lt;=0")</f>
        <v>#DIV/0!</v>
      </c>
      <c r="Q28" s="22" t="e">
        <f>MEDIAN(tblVariable[[#This Row],[JAN]:[DEC]])</f>
        <v>#NUM!</v>
      </c>
      <c r="R28" s="8"/>
      <c r="S28" s="4"/>
      <c r="T28" s="4"/>
      <c r="U28" s="4"/>
      <c r="V28" s="4"/>
      <c r="W28" s="4"/>
      <c r="X28" s="4"/>
      <c r="Y28" s="4"/>
      <c r="Z28" s="4"/>
      <c r="AA28" s="4"/>
      <c r="AB28" s="4"/>
      <c r="AC28" s="4"/>
      <c r="AD28" s="4"/>
      <c r="AE28" s="4"/>
      <c r="AF28" s="4"/>
      <c r="AG28" s="4"/>
      <c r="AH28" s="4"/>
      <c r="AI28" s="4"/>
      <c r="AJ28" s="4"/>
      <c r="AK28" s="4"/>
    </row>
    <row r="29" spans="1:37" s="2" customFormat="1" ht="22.25" customHeight="1">
      <c r="A29" s="6"/>
      <c r="B29" s="7" t="s">
        <v>36</v>
      </c>
      <c r="C29" s="22"/>
      <c r="D29" s="22"/>
      <c r="E29" s="22"/>
      <c r="F29" s="22"/>
      <c r="G29" s="22"/>
      <c r="H29" s="22"/>
      <c r="I29" s="22"/>
      <c r="J29" s="22"/>
      <c r="K29" s="22"/>
      <c r="L29" s="22"/>
      <c r="M29" s="22"/>
      <c r="N29" s="22"/>
      <c r="O29" s="22">
        <f>SUM(tblVariable[[#This Row],[JAN]:[DEC]])</f>
        <v>0</v>
      </c>
      <c r="P29" s="24" t="e">
        <f>AVERAGEIF(tblVariable[[#This Row],[JAN]:[DEC]],"&lt;=0")</f>
        <v>#DIV/0!</v>
      </c>
      <c r="Q29" s="22" t="e">
        <f>MEDIAN(tblVariable[[#This Row],[JAN]:[DEC]])</f>
        <v>#NUM!</v>
      </c>
      <c r="R29" s="8"/>
      <c r="S29" s="4"/>
      <c r="T29" s="4"/>
      <c r="U29" s="4"/>
      <c r="V29" s="4"/>
      <c r="W29" s="4"/>
      <c r="X29" s="4"/>
      <c r="Y29" s="4"/>
      <c r="Z29" s="4"/>
      <c r="AA29" s="4"/>
      <c r="AB29" s="4"/>
      <c r="AC29" s="4"/>
      <c r="AD29" s="4"/>
      <c r="AE29" s="4"/>
      <c r="AF29" s="4"/>
      <c r="AG29" s="4"/>
      <c r="AH29" s="4"/>
      <c r="AI29" s="4"/>
      <c r="AJ29" s="4"/>
      <c r="AK29" s="4"/>
    </row>
    <row r="30" spans="1:37" s="2" customFormat="1" ht="22.25" customHeight="1">
      <c r="A30" s="6"/>
      <c r="B30" s="7" t="s">
        <v>37</v>
      </c>
      <c r="C30" s="22"/>
      <c r="D30" s="22"/>
      <c r="E30" s="22"/>
      <c r="F30" s="22"/>
      <c r="G30" s="22"/>
      <c r="H30" s="22"/>
      <c r="I30" s="22"/>
      <c r="J30" s="22"/>
      <c r="K30" s="22"/>
      <c r="L30" s="22"/>
      <c r="M30" s="22"/>
      <c r="N30" s="22"/>
      <c r="O30" s="22">
        <f>SUM(tblVariable[[#This Row],[JAN]:[DEC]])</f>
        <v>0</v>
      </c>
      <c r="P30" s="24" t="e">
        <f>AVERAGEIF(tblVariable[[#This Row],[JAN]:[DEC]],"&lt;=0")</f>
        <v>#DIV/0!</v>
      </c>
      <c r="Q30" s="22" t="e">
        <f>MEDIAN(tblVariable[[#This Row],[JAN]:[DEC]])</f>
        <v>#NUM!</v>
      </c>
      <c r="R30" s="8"/>
      <c r="S30" s="4"/>
      <c r="T30" s="4"/>
      <c r="U30" s="4"/>
      <c r="V30" s="4"/>
      <c r="W30" s="4"/>
      <c r="X30" s="4"/>
      <c r="Y30" s="4"/>
      <c r="Z30" s="4"/>
      <c r="AA30" s="4"/>
      <c r="AB30" s="4"/>
      <c r="AC30" s="4"/>
      <c r="AD30" s="4"/>
      <c r="AE30" s="4"/>
      <c r="AF30" s="4"/>
      <c r="AG30" s="4"/>
      <c r="AH30" s="4"/>
      <c r="AI30" s="4"/>
      <c r="AJ30" s="4"/>
      <c r="AK30" s="4"/>
    </row>
    <row r="31" spans="1:37" s="2" customFormat="1" ht="22.25" customHeight="1">
      <c r="A31" s="6"/>
      <c r="B31" s="7" t="s">
        <v>38</v>
      </c>
      <c r="C31" s="22"/>
      <c r="D31" s="22"/>
      <c r="E31" s="22"/>
      <c r="F31" s="22"/>
      <c r="G31" s="22"/>
      <c r="H31" s="22"/>
      <c r="I31" s="22"/>
      <c r="J31" s="22"/>
      <c r="K31" s="22"/>
      <c r="L31" s="22"/>
      <c r="M31" s="22"/>
      <c r="N31" s="22"/>
      <c r="O31" s="22">
        <f>SUM(tblVariable[[#This Row],[JAN]:[DEC]])</f>
        <v>0</v>
      </c>
      <c r="P31" s="24" t="e">
        <f>AVERAGEIF(tblVariable[[#This Row],[JAN]:[DEC]],"&lt;=0")</f>
        <v>#DIV/0!</v>
      </c>
      <c r="Q31" s="22" t="e">
        <f>MEDIAN(tblVariable[[#This Row],[JAN]:[DEC]])</f>
        <v>#NUM!</v>
      </c>
      <c r="R31" s="8"/>
      <c r="S31" s="4"/>
      <c r="T31" s="4"/>
      <c r="U31" s="4"/>
      <c r="V31" s="4"/>
      <c r="W31" s="4"/>
      <c r="X31" s="4"/>
      <c r="Y31" s="4"/>
      <c r="Z31" s="4"/>
      <c r="AA31" s="4"/>
      <c r="AB31" s="4"/>
      <c r="AC31" s="4"/>
      <c r="AD31" s="4"/>
      <c r="AE31" s="4"/>
      <c r="AF31" s="4"/>
      <c r="AG31" s="4"/>
      <c r="AH31" s="4"/>
      <c r="AI31" s="4"/>
      <c r="AJ31" s="4"/>
      <c r="AK31" s="4"/>
    </row>
    <row r="32" spans="1:37" ht="22.25" customHeight="1">
      <c r="A32" s="16"/>
      <c r="B32" s="7" t="s">
        <v>39</v>
      </c>
      <c r="C32" s="22"/>
      <c r="D32" s="22"/>
      <c r="E32" s="22"/>
      <c r="F32" s="22"/>
      <c r="G32" s="22"/>
      <c r="H32" s="22"/>
      <c r="I32" s="22"/>
      <c r="J32" s="22"/>
      <c r="K32" s="22"/>
      <c r="L32" s="22"/>
      <c r="M32" s="22"/>
      <c r="N32" s="22"/>
      <c r="O32" s="22">
        <f>SUM(tblVariable[[#This Row],[JAN]:[DEC]])</f>
        <v>0</v>
      </c>
      <c r="P32" s="24" t="e">
        <f>AVERAGEIF(tblVariable[[#This Row],[JAN]:[DEC]],"&lt;=0")</f>
        <v>#DIV/0!</v>
      </c>
      <c r="Q32" s="22" t="e">
        <f>MEDIAN(tblVariable[[#This Row],[JAN]:[DEC]])</f>
        <v>#NUM!</v>
      </c>
      <c r="R32" s="8"/>
      <c r="S32" s="4"/>
      <c r="T32" s="4"/>
      <c r="U32" s="4"/>
      <c r="V32" s="4"/>
      <c r="W32" s="4"/>
      <c r="X32" s="4"/>
      <c r="Y32" s="4"/>
      <c r="Z32" s="4"/>
      <c r="AA32" s="4"/>
      <c r="AB32" s="4"/>
      <c r="AC32" s="4"/>
      <c r="AD32" s="4"/>
      <c r="AE32" s="4"/>
      <c r="AF32" s="4"/>
      <c r="AG32" s="4"/>
      <c r="AH32" s="4"/>
      <c r="AI32" s="4"/>
      <c r="AJ32" s="4"/>
      <c r="AK32" s="4"/>
    </row>
    <row r="33" spans="1:37" s="19" customFormat="1" ht="22" customHeight="1">
      <c r="A33" s="1"/>
      <c r="B33" s="7" t="s">
        <v>15</v>
      </c>
      <c r="C33" s="22">
        <f>SUBTOTAL(109,tblVariable[JAN])</f>
        <v>0</v>
      </c>
      <c r="D33" s="22">
        <f>SUBTOTAL(109,tblVariable[FEB])</f>
        <v>0</v>
      </c>
      <c r="E33" s="22">
        <f>SUBTOTAL(109,tblVariable[MAR])</f>
        <v>0</v>
      </c>
      <c r="F33" s="22">
        <f>SUBTOTAL(109,tblVariable[APR])</f>
        <v>0</v>
      </c>
      <c r="G33" s="22">
        <f>SUBTOTAL(109,tblVariable[MAY])</f>
        <v>0</v>
      </c>
      <c r="H33" s="22">
        <f>SUBTOTAL(109,tblVariable[JUN])</f>
        <v>0</v>
      </c>
      <c r="I33" s="22">
        <f>SUBTOTAL(109,tblVariable[JUL])</f>
        <v>0</v>
      </c>
      <c r="J33" s="22">
        <f>SUBTOTAL(109,tblVariable[AUG])</f>
        <v>0</v>
      </c>
      <c r="K33" s="22">
        <f>SUBTOTAL(109,tblVariable[SEP])</f>
        <v>0</v>
      </c>
      <c r="L33" s="22">
        <f>SUBTOTAL(109,tblVariable[OCT])</f>
        <v>0</v>
      </c>
      <c r="M33" s="22">
        <f>SUBTOTAL(109,tblVariable[NOV])</f>
        <v>0</v>
      </c>
      <c r="N33" s="22">
        <f>SUBTOTAL(109,tblVariable[DEC])</f>
        <v>0</v>
      </c>
      <c r="O33" s="22">
        <f>SUBTOTAL(109,tblVariable[TOTAL])</f>
        <v>0</v>
      </c>
      <c r="P33" s="22" t="e">
        <f>SUBTOTAL(109,tblVariable[AVG])</f>
        <v>#DIV/0!</v>
      </c>
      <c r="Q33" s="22" t="e">
        <f>SUBTOTAL(109,tblVariable[MED])</f>
        <v>#NUM!</v>
      </c>
      <c r="R33" s="9"/>
      <c r="S33" s="4"/>
      <c r="T33" s="4"/>
      <c r="U33" s="4"/>
      <c r="V33" s="4"/>
      <c r="W33" s="4"/>
      <c r="X33" s="4"/>
      <c r="Y33" s="4"/>
      <c r="Z33" s="4"/>
      <c r="AA33" s="4"/>
      <c r="AB33" s="4"/>
      <c r="AC33" s="4"/>
      <c r="AD33" s="4"/>
      <c r="AE33" s="4"/>
      <c r="AF33" s="4"/>
      <c r="AG33" s="4"/>
      <c r="AH33" s="4"/>
      <c r="AI33" s="4"/>
      <c r="AJ33" s="4"/>
      <c r="AK33" s="4"/>
    </row>
    <row r="34" spans="1:37" s="2" customFormat="1" ht="35" customHeight="1">
      <c r="A34" s="6"/>
      <c r="B34" s="35" t="s">
        <v>49</v>
      </c>
      <c r="C34" s="17"/>
      <c r="D34" s="17"/>
      <c r="E34" s="17"/>
      <c r="F34" s="17"/>
      <c r="G34" s="17"/>
      <c r="H34" s="17"/>
      <c r="I34" s="17"/>
      <c r="J34" s="17"/>
      <c r="K34" s="17"/>
      <c r="L34" s="17"/>
      <c r="M34" s="17"/>
      <c r="N34" s="17"/>
      <c r="O34" s="17"/>
      <c r="P34" s="18"/>
      <c r="Q34" s="17"/>
      <c r="R34" s="18"/>
      <c r="S34" s="4"/>
      <c r="T34" s="4"/>
      <c r="U34" s="4"/>
      <c r="V34" s="4"/>
      <c r="W34" s="4"/>
      <c r="X34" s="4"/>
      <c r="Y34" s="4"/>
      <c r="Z34" s="4"/>
      <c r="AA34" s="4"/>
      <c r="AB34" s="4"/>
      <c r="AC34" s="4"/>
      <c r="AD34" s="4"/>
      <c r="AE34" s="4"/>
      <c r="AF34" s="4"/>
      <c r="AG34" s="4"/>
      <c r="AH34" s="4"/>
      <c r="AI34" s="4"/>
      <c r="AJ34" s="4"/>
      <c r="AK34" s="4"/>
    </row>
    <row r="35" spans="1:37" s="2" customFormat="1" ht="35" customHeight="1">
      <c r="A35" s="6"/>
      <c r="B35" s="12" t="s">
        <v>43</v>
      </c>
      <c r="C35" s="20" t="s">
        <v>2</v>
      </c>
      <c r="D35" s="20" t="s">
        <v>3</v>
      </c>
      <c r="E35" s="20" t="s">
        <v>4</v>
      </c>
      <c r="F35" s="20" t="s">
        <v>5</v>
      </c>
      <c r="G35" s="20" t="s">
        <v>6</v>
      </c>
      <c r="H35" s="20" t="s">
        <v>7</v>
      </c>
      <c r="I35" s="20" t="s">
        <v>8</v>
      </c>
      <c r="J35" s="20" t="s">
        <v>9</v>
      </c>
      <c r="K35" s="20" t="s">
        <v>10</v>
      </c>
      <c r="L35" s="20" t="s">
        <v>11</v>
      </c>
      <c r="M35" s="20" t="s">
        <v>12</v>
      </c>
      <c r="N35" s="20" t="s">
        <v>13</v>
      </c>
      <c r="O35" s="20" t="s">
        <v>47</v>
      </c>
      <c r="P35" s="20" t="s">
        <v>45</v>
      </c>
      <c r="Q35" s="20" t="s">
        <v>46</v>
      </c>
      <c r="R35" s="21" t="s">
        <v>14</v>
      </c>
      <c r="S35" s="4"/>
      <c r="T35" s="4"/>
      <c r="U35" s="4"/>
      <c r="V35" s="4"/>
      <c r="W35" s="4"/>
      <c r="X35" s="4"/>
      <c r="Y35" s="4"/>
      <c r="Z35" s="4"/>
      <c r="AA35" s="4"/>
      <c r="AB35" s="4"/>
      <c r="AC35" s="4"/>
      <c r="AD35" s="4"/>
      <c r="AE35" s="4"/>
      <c r="AF35" s="4"/>
      <c r="AG35" s="4"/>
      <c r="AH35" s="4"/>
      <c r="AI35" s="4"/>
      <c r="AJ35" s="4"/>
      <c r="AK35" s="4"/>
    </row>
    <row r="36" spans="1:37" ht="22.25" customHeight="1">
      <c r="A36" s="6"/>
      <c r="B36" s="7" t="s">
        <v>44</v>
      </c>
      <c r="C36" s="22"/>
      <c r="D36" s="22"/>
      <c r="E36" s="22"/>
      <c r="F36" s="22"/>
      <c r="G36" s="22"/>
      <c r="H36" s="22"/>
      <c r="I36" s="22"/>
      <c r="J36" s="22"/>
      <c r="K36" s="22"/>
      <c r="L36" s="22"/>
      <c r="M36" s="22"/>
      <c r="N36" s="22"/>
      <c r="O36" s="22">
        <f>SUM(tblInvestment[[#This Row],[JAN]:[DEC]])</f>
        <v>0</v>
      </c>
      <c r="P36" s="22" t="e">
        <f>AVERAGEIF(tblInvestment[[#This Row],[JAN]:[DEC]],"&gt;=0")</f>
        <v>#DIV/0!</v>
      </c>
      <c r="Q36" s="22" t="e">
        <f>MEDIAN(tblInvestment[[#This Row],[JAN]:[DEC]])</f>
        <v>#NUM!</v>
      </c>
      <c r="R36" s="8"/>
      <c r="S36" s="4"/>
      <c r="T36" s="4"/>
      <c r="U36" s="4"/>
      <c r="V36" s="4"/>
      <c r="W36" s="4"/>
      <c r="X36" s="4"/>
      <c r="Y36" s="4"/>
      <c r="Z36" s="4"/>
      <c r="AA36" s="4"/>
      <c r="AB36" s="4"/>
      <c r="AC36" s="4"/>
      <c r="AD36" s="4"/>
      <c r="AE36" s="4"/>
      <c r="AF36" s="4"/>
      <c r="AG36" s="4"/>
      <c r="AH36" s="4"/>
      <c r="AI36" s="4"/>
      <c r="AJ36" s="4"/>
      <c r="AK36" s="4"/>
    </row>
    <row r="37" spans="1:37" s="2" customFormat="1" ht="21" customHeight="1">
      <c r="A37" s="6"/>
      <c r="B37" s="7" t="s">
        <v>15</v>
      </c>
      <c r="C37" s="23">
        <f>SUBTOTAL(109,tblInvestment[JAN])</f>
        <v>0</v>
      </c>
      <c r="D37" s="23">
        <f>SUBTOTAL(109,tblInvestment[FEB])</f>
        <v>0</v>
      </c>
      <c r="E37" s="23">
        <f>SUBTOTAL(109,tblInvestment[MAR])</f>
        <v>0</v>
      </c>
      <c r="F37" s="23">
        <f>SUBTOTAL(109,tblInvestment[APR])</f>
        <v>0</v>
      </c>
      <c r="G37" s="23">
        <f>SUBTOTAL(109,tblInvestment[MAY])</f>
        <v>0</v>
      </c>
      <c r="H37" s="23">
        <f>SUBTOTAL(109,tblInvestment[JUN])</f>
        <v>0</v>
      </c>
      <c r="I37" s="23">
        <f>SUBTOTAL(109,tblInvestment[JUL])</f>
        <v>0</v>
      </c>
      <c r="J37" s="23">
        <f>SUBTOTAL(109,tblInvestment[AUG])</f>
        <v>0</v>
      </c>
      <c r="K37" s="23">
        <f>SUBTOTAL(109,tblInvestment[SEP])</f>
        <v>0</v>
      </c>
      <c r="L37" s="23">
        <f>SUBTOTAL(109,tblInvestment[OCT])</f>
        <v>0</v>
      </c>
      <c r="M37" s="23">
        <f>SUBTOTAL(109,tblInvestment[NOV])</f>
        <v>0</v>
      </c>
      <c r="N37" s="23">
        <f>SUBTOTAL(109,tblInvestment[DEC])</f>
        <v>0</v>
      </c>
      <c r="O37" s="23">
        <f>SUBTOTAL(109,tblInvestment[TOTAL])</f>
        <v>0</v>
      </c>
      <c r="P37" s="23" t="e">
        <f>SUBTOTAL(109,tblInvestment[AVG])</f>
        <v>#DIV/0!</v>
      </c>
      <c r="Q37" s="23" t="e">
        <f>SUBTOTAL(109,tblInvestment[MED])</f>
        <v>#NUM!</v>
      </c>
      <c r="R37" s="9"/>
      <c r="S37" s="4"/>
      <c r="T37" s="4"/>
      <c r="U37" s="4"/>
      <c r="V37" s="4"/>
      <c r="W37" s="4"/>
      <c r="X37" s="4"/>
      <c r="Y37" s="4"/>
      <c r="Z37" s="4"/>
      <c r="AA37" s="4"/>
      <c r="AB37" s="4"/>
      <c r="AC37" s="4"/>
      <c r="AD37" s="4"/>
      <c r="AE37" s="4"/>
      <c r="AF37" s="4"/>
      <c r="AG37" s="4"/>
      <c r="AH37" s="4"/>
      <c r="AI37" s="4"/>
      <c r="AJ37" s="4"/>
      <c r="AK37" s="4"/>
    </row>
    <row r="38" spans="1:37" s="37" customFormat="1" ht="20" customHeight="1">
      <c r="A38" s="39"/>
    </row>
    <row r="39" spans="1:37" ht="34" customHeight="1">
      <c r="A39" s="6"/>
      <c r="B39" s="40" t="s">
        <v>17</v>
      </c>
      <c r="C39" s="27" t="s">
        <v>2</v>
      </c>
      <c r="D39" s="27" t="s">
        <v>3</v>
      </c>
      <c r="E39" s="27" t="s">
        <v>4</v>
      </c>
      <c r="F39" s="27" t="s">
        <v>5</v>
      </c>
      <c r="G39" s="27" t="s">
        <v>6</v>
      </c>
      <c r="H39" s="27" t="s">
        <v>7</v>
      </c>
      <c r="I39" s="27" t="s">
        <v>8</v>
      </c>
      <c r="J39" s="27" t="s">
        <v>9</v>
      </c>
      <c r="K39" s="27" t="s">
        <v>10</v>
      </c>
      <c r="L39" s="27" t="s">
        <v>11</v>
      </c>
      <c r="M39" s="27" t="s">
        <v>12</v>
      </c>
      <c r="N39" s="27" t="s">
        <v>13</v>
      </c>
      <c r="O39" s="27" t="s">
        <v>47</v>
      </c>
      <c r="P39" s="27" t="s">
        <v>45</v>
      </c>
      <c r="Q39" s="27" t="s">
        <v>46</v>
      </c>
      <c r="R39" s="40" t="s">
        <v>14</v>
      </c>
      <c r="S39" s="4"/>
      <c r="T39" s="4"/>
      <c r="U39" s="4"/>
      <c r="V39" s="4"/>
      <c r="W39" s="4"/>
      <c r="X39" s="4"/>
      <c r="Y39" s="4"/>
      <c r="Z39" s="4"/>
      <c r="AA39" s="4"/>
      <c r="AB39" s="4"/>
      <c r="AC39" s="4"/>
      <c r="AD39" s="4"/>
      <c r="AE39" s="4"/>
      <c r="AF39" s="4"/>
      <c r="AG39" s="4"/>
      <c r="AH39" s="4"/>
      <c r="AI39" s="4"/>
      <c r="AJ39" s="4"/>
      <c r="AK39" s="4"/>
    </row>
    <row r="40" spans="1:37" s="14" customFormat="1" ht="22" customHeight="1">
      <c r="A40" s="6"/>
      <c r="B40" s="31" t="s">
        <v>18</v>
      </c>
      <c r="C40" s="28">
        <f>SUM(tblVariable[[#Totals],[JAN]],tblFixed[[#Totals],[JAN]])</f>
        <v>0</v>
      </c>
      <c r="D40" s="30">
        <f>SUM(tblVariable[[#Totals],[FEB]],tblFixed[[#Totals],[FEB]])</f>
        <v>0</v>
      </c>
      <c r="E40" s="28">
        <f>SUM(tblVariable[[#Totals],[MAR]],tblFixed[[#Totals],[MAR]])</f>
        <v>0</v>
      </c>
      <c r="F40" s="30">
        <f>SUM(tblVariable[[#Totals],[APR]],tblFixed[[#Totals],[APR]])</f>
        <v>0</v>
      </c>
      <c r="G40" s="28">
        <f>SUM(tblVariable[[#Totals],[MAY]],tblFixed[[#Totals],[MAY]])</f>
        <v>0</v>
      </c>
      <c r="H40" s="30">
        <f>SUM(tblVariable[[#Totals],[JUN]],tblFixed[[#Totals],[JUN]])</f>
        <v>0</v>
      </c>
      <c r="I40" s="25">
        <f>SUM(tblVariable[[#Totals],[JUL]],tblFixed[[#Totals],[JUL]])</f>
        <v>0</v>
      </c>
      <c r="J40" s="30">
        <f>SUM(tblVariable[[#Totals],[AUG]],tblFixed[[#Totals],[AUG]])</f>
        <v>0</v>
      </c>
      <c r="K40" s="25">
        <f>SUM(tblVariable[[#Totals],[SEP]],tblFixed[[#Totals],[SEP]])</f>
        <v>0</v>
      </c>
      <c r="L40" s="30">
        <f>SUM(tblVariable[[#Totals],[OCT]],tblFixed[[#Totals],[OCT]])</f>
        <v>0</v>
      </c>
      <c r="M40" s="25">
        <f>SUM(tblVariable[[#Totals],[NOV]],tblFixed[[#Totals],[NOV]])</f>
        <v>0</v>
      </c>
      <c r="N40" s="30">
        <f>SUM(tblVariable[[#Totals],[DEC]],tblFixed[[#Totals],[DEC]])</f>
        <v>0</v>
      </c>
      <c r="O40" s="25">
        <f>SUM(tblTotals[[#This Row],[JAN]:[DEC]])</f>
        <v>0</v>
      </c>
      <c r="P40" s="30" t="e">
        <f>AVERAGEIF(tblTotals[[#This Row],[JAN]:[DEC]],"&lt;&gt;0")</f>
        <v>#DIV/0!</v>
      </c>
      <c r="Q40" s="25">
        <f>MEDIAN(tblTotals[[#This Row],[JAN]:[DEC]])</f>
        <v>0</v>
      </c>
      <c r="R40" s="32"/>
      <c r="S40" s="4"/>
      <c r="T40" s="4"/>
      <c r="U40" s="4"/>
      <c r="V40" s="4"/>
      <c r="W40" s="4"/>
      <c r="X40" s="4"/>
      <c r="Y40" s="4"/>
      <c r="Z40" s="4"/>
      <c r="AA40" s="4"/>
      <c r="AB40" s="4"/>
      <c r="AC40" s="4"/>
      <c r="AD40" s="4"/>
      <c r="AE40" s="4"/>
      <c r="AF40" s="4"/>
      <c r="AG40" s="4"/>
      <c r="AH40" s="4"/>
      <c r="AI40" s="4"/>
      <c r="AJ40" s="4"/>
      <c r="AK40" s="4"/>
    </row>
    <row r="41" spans="1:37" s="14" customFormat="1" ht="23" customHeight="1">
      <c r="A41" s="6"/>
      <c r="B41" s="31" t="s">
        <v>48</v>
      </c>
      <c r="C41" s="28">
        <f>SUM(tblIncome[[#Totals],[JAN]])</f>
        <v>0</v>
      </c>
      <c r="D41" s="30">
        <f>SUM(tblIncome[[#Totals],[FEB]])</f>
        <v>0</v>
      </c>
      <c r="E41" s="28">
        <f>SUM(tblIncome[[#Totals],[MAR]])</f>
        <v>0</v>
      </c>
      <c r="F41" s="30">
        <f>SUM(tblIncome[[#Totals],[APR]])</f>
        <v>0</v>
      </c>
      <c r="G41" s="28">
        <f>SUM(tblIncome[[#Totals],[MAY]])</f>
        <v>0</v>
      </c>
      <c r="H41" s="30">
        <f>SUM(tblIncome[[#Totals],[JUN]])</f>
        <v>0</v>
      </c>
      <c r="I41" s="25">
        <f>SUM(tblIncome[[#Totals],[JUL]])</f>
        <v>0</v>
      </c>
      <c r="J41" s="30">
        <f>SUM(tblIncome[[#Totals],[AUG]])</f>
        <v>0</v>
      </c>
      <c r="K41" s="25">
        <f>SUM(tblIncome[[#Totals],[SEP]])</f>
        <v>0</v>
      </c>
      <c r="L41" s="30">
        <f>SUM(tblIncome[[#Totals],[OCT]])</f>
        <v>0</v>
      </c>
      <c r="M41" s="25">
        <f>SUM(tblIncome[[#Totals],[NOV]])</f>
        <v>0</v>
      </c>
      <c r="N41" s="30">
        <f>SUM(tblIncome[[#Totals],[DEC]])</f>
        <v>0</v>
      </c>
      <c r="O41" s="25">
        <f>SUM(tblTotals[[#This Row],[JAN]:[DEC]])</f>
        <v>0</v>
      </c>
      <c r="P41" s="30" t="e">
        <f>AVERAGEIF(tblTotals[[#This Row],[JAN]:[DEC]],"&lt;&gt;0")</f>
        <v>#DIV/0!</v>
      </c>
      <c r="Q41" s="25">
        <f>MEDIAN(tblTotals[[#This Row],[JAN]:[DEC]])</f>
        <v>0</v>
      </c>
      <c r="R41" s="32"/>
      <c r="S41" s="4"/>
      <c r="T41" s="4"/>
      <c r="U41" s="4"/>
      <c r="V41" s="4"/>
      <c r="W41" s="4"/>
      <c r="X41" s="4"/>
      <c r="Y41" s="4"/>
      <c r="Z41" s="4"/>
      <c r="AA41" s="4"/>
      <c r="AB41" s="4"/>
      <c r="AC41" s="4"/>
      <c r="AD41" s="4"/>
      <c r="AE41" s="4"/>
      <c r="AF41" s="4"/>
      <c r="AG41" s="4"/>
      <c r="AH41" s="4"/>
      <c r="AI41" s="4"/>
      <c r="AJ41" s="4"/>
      <c r="AK41" s="4"/>
    </row>
    <row r="42" spans="1:37" s="2" customFormat="1" ht="7" customHeight="1">
      <c r="A42" s="6"/>
      <c r="B42" s="33"/>
      <c r="C42" s="29"/>
      <c r="D42" s="29"/>
      <c r="E42" s="29"/>
      <c r="F42" s="29"/>
      <c r="G42" s="29"/>
      <c r="H42" s="29"/>
      <c r="I42" s="29"/>
      <c r="J42" s="29"/>
      <c r="K42" s="29"/>
      <c r="L42" s="29"/>
      <c r="M42" s="29"/>
      <c r="N42" s="29"/>
      <c r="O42" s="29"/>
      <c r="P42" s="29"/>
      <c r="Q42" s="29"/>
      <c r="R42" s="34"/>
      <c r="S42" s="4"/>
      <c r="T42" s="4"/>
      <c r="U42" s="4"/>
      <c r="V42" s="4"/>
      <c r="W42" s="4"/>
      <c r="X42" s="4"/>
      <c r="Y42" s="4"/>
      <c r="Z42" s="4"/>
      <c r="AA42" s="4"/>
      <c r="AB42" s="4"/>
      <c r="AC42" s="4"/>
      <c r="AD42" s="4"/>
      <c r="AE42" s="4"/>
      <c r="AF42" s="4"/>
      <c r="AG42" s="4"/>
      <c r="AH42" s="4"/>
      <c r="AI42" s="4"/>
      <c r="AJ42" s="4"/>
      <c r="AK42" s="4"/>
    </row>
    <row r="43" spans="1:37" s="2" customFormat="1" ht="22" customHeight="1">
      <c r="A43" s="6"/>
      <c r="B43" s="31" t="s">
        <v>51</v>
      </c>
      <c r="C43" s="28">
        <f>SUM(C40,C41,tblInvestment[[#Totals],[JAN]])</f>
        <v>0</v>
      </c>
      <c r="D43" s="30">
        <f>SUM(D40,D41,tblInvestment[[#Totals],[FEB]])</f>
        <v>0</v>
      </c>
      <c r="E43" s="28">
        <f>SUM(E40,E41,tblInvestment[[#Totals],[MAR]])</f>
        <v>0</v>
      </c>
      <c r="F43" s="30">
        <f>SUM(F40,F41,tblInvestment[[#Totals],[APR]])</f>
        <v>0</v>
      </c>
      <c r="G43" s="28">
        <f>SUM(G40,G41,tblInvestment[[#Totals],[MAY]])</f>
        <v>0</v>
      </c>
      <c r="H43" s="30">
        <f>SUM(H40,H41,tblInvestment[[#Totals],[JUN]])</f>
        <v>0</v>
      </c>
      <c r="I43" s="25">
        <f>SUM(I40,I41,tblInvestment[[#Totals],[JUL]])</f>
        <v>0</v>
      </c>
      <c r="J43" s="30">
        <f>SUM(J40,J41,tblInvestment[[#Totals],[AUG]])</f>
        <v>0</v>
      </c>
      <c r="K43" s="25">
        <f>SUM(K40,K41,tblInvestment[[#Totals],[SEP]])</f>
        <v>0</v>
      </c>
      <c r="L43" s="30">
        <f>SUM(L40,L41,tblInvestment[[#Totals],[OCT]])</f>
        <v>0</v>
      </c>
      <c r="M43" s="25">
        <f>SUM(M40,M41,tblInvestment[[#Totals],[NOV]])</f>
        <v>0</v>
      </c>
      <c r="N43" s="30">
        <f>SUM(N40,N41,tblInvestment[[#Totals],[DEC]])</f>
        <v>0</v>
      </c>
      <c r="O43" s="25">
        <f>SUM(tblTotals[[#This Row],[JAN]:[DEC]])</f>
        <v>0</v>
      </c>
      <c r="P43" s="30" t="e">
        <f>AVERAGEIF(tblTotals[[#This Row],[JAN]:[DEC]], "&lt;&gt;0")</f>
        <v>#DIV/0!</v>
      </c>
      <c r="Q43" s="25">
        <f>MEDIAN(tblTotals[[#This Row],[JAN]:[DEC]])</f>
        <v>0</v>
      </c>
      <c r="R43" s="32"/>
      <c r="S43" s="4"/>
      <c r="T43" s="4"/>
      <c r="U43" s="4"/>
      <c r="V43" s="4"/>
      <c r="W43" s="4"/>
      <c r="X43" s="4"/>
      <c r="Y43" s="4"/>
      <c r="Z43" s="4"/>
      <c r="AA43" s="4"/>
      <c r="AB43" s="4"/>
      <c r="AC43" s="4"/>
      <c r="AD43" s="4"/>
      <c r="AE43" s="4"/>
      <c r="AF43" s="4"/>
      <c r="AG43" s="4"/>
      <c r="AH43" s="4"/>
      <c r="AI43" s="4"/>
      <c r="AJ43" s="4"/>
      <c r="AK43" s="4"/>
    </row>
    <row r="44" spans="1:37" s="37" customFormat="1" ht="22.25" customHeight="1">
      <c r="B44" s="31" t="s">
        <v>50</v>
      </c>
      <c r="C44" s="28">
        <f>SUM(C40,C41)</f>
        <v>0</v>
      </c>
      <c r="D44" s="30">
        <f t="shared" ref="D44:N44" si="0">SUM(D40,D41)</f>
        <v>0</v>
      </c>
      <c r="E44" s="28">
        <f t="shared" si="0"/>
        <v>0</v>
      </c>
      <c r="F44" s="30">
        <f t="shared" si="0"/>
        <v>0</v>
      </c>
      <c r="G44" s="28">
        <f t="shared" si="0"/>
        <v>0</v>
      </c>
      <c r="H44" s="30">
        <f t="shared" si="0"/>
        <v>0</v>
      </c>
      <c r="I44" s="25">
        <f t="shared" si="0"/>
        <v>0</v>
      </c>
      <c r="J44" s="30">
        <f t="shared" si="0"/>
        <v>0</v>
      </c>
      <c r="K44" s="25">
        <f t="shared" si="0"/>
        <v>0</v>
      </c>
      <c r="L44" s="30">
        <f t="shared" si="0"/>
        <v>0</v>
      </c>
      <c r="M44" s="25">
        <f t="shared" si="0"/>
        <v>0</v>
      </c>
      <c r="N44" s="30">
        <f t="shared" si="0"/>
        <v>0</v>
      </c>
      <c r="O44" s="25">
        <f>SUM(tblTotals[[#This Row],[JAN]:[DEC]])</f>
        <v>0</v>
      </c>
      <c r="P44" s="30" t="e">
        <f>AVERAGEIF(tblTotals[[#This Row],[JAN]:[DEC]], "&lt;&gt;0")</f>
        <v>#DIV/0!</v>
      </c>
      <c r="Q44" s="25">
        <f>MEDIAN(tblTotals[[#This Row],[JAN]:[DEC]])</f>
        <v>0</v>
      </c>
      <c r="R44" s="32"/>
    </row>
    <row r="45" spans="1:37" s="2" customFormat="1" ht="22.25" customHeight="1">
      <c r="A45" s="4"/>
      <c r="B45" s="6"/>
      <c r="C45" s="6"/>
      <c r="D45" s="6"/>
      <c r="E45" s="6"/>
      <c r="F45" s="6"/>
      <c r="G45" s="6"/>
      <c r="H45" s="6"/>
      <c r="I45" s="6"/>
      <c r="J45" s="6"/>
      <c r="K45" s="6"/>
      <c r="L45" s="6"/>
      <c r="M45" s="6"/>
      <c r="N45" s="6"/>
      <c r="O45" s="6"/>
      <c r="P45" s="6"/>
      <c r="Q45" s="6"/>
      <c r="R45" s="6"/>
      <c r="S45" s="4"/>
      <c r="T45" s="4"/>
      <c r="U45" s="4"/>
      <c r="V45" s="4"/>
      <c r="W45" s="4"/>
      <c r="X45" s="4"/>
      <c r="Y45" s="4"/>
      <c r="Z45" s="4"/>
      <c r="AA45" s="4"/>
      <c r="AB45" s="4"/>
      <c r="AC45" s="4"/>
      <c r="AD45" s="4"/>
      <c r="AE45" s="4"/>
      <c r="AF45" s="4"/>
      <c r="AG45" s="4"/>
      <c r="AH45" s="4"/>
      <c r="AI45" s="4"/>
      <c r="AJ45" s="4"/>
      <c r="AK45" s="4"/>
    </row>
    <row r="46" spans="1:37" s="2" customFormat="1" ht="22.25" customHeight="1">
      <c r="A46" s="4"/>
      <c r="B46" s="4"/>
      <c r="C46" s="4"/>
      <c r="D46" s="4"/>
      <c r="E46" s="4"/>
      <c r="F46" s="4"/>
      <c r="G46" s="4"/>
      <c r="H46" s="4"/>
      <c r="I46" s="4"/>
      <c r="J46" s="4"/>
      <c r="K46" s="4"/>
      <c r="L46" s="4"/>
      <c r="M46" s="6"/>
      <c r="N46" s="6"/>
      <c r="O46" s="6"/>
      <c r="P46" s="6"/>
      <c r="Q46" s="6"/>
      <c r="R46" s="6"/>
      <c r="S46" s="4"/>
      <c r="T46" s="4"/>
      <c r="U46" s="4"/>
      <c r="V46" s="4"/>
      <c r="W46" s="4"/>
      <c r="X46" s="4"/>
      <c r="Y46" s="4"/>
      <c r="Z46" s="4"/>
      <c r="AA46" s="4"/>
      <c r="AB46" s="4"/>
      <c r="AC46" s="4"/>
      <c r="AD46" s="4"/>
      <c r="AE46" s="4"/>
      <c r="AF46" s="4"/>
      <c r="AG46" s="4"/>
      <c r="AH46" s="4"/>
      <c r="AI46" s="4"/>
      <c r="AJ46" s="4"/>
      <c r="AK46" s="4"/>
    </row>
    <row r="47" spans="1:37" s="2" customFormat="1" ht="22.25" customHeight="1">
      <c r="A47" s="4"/>
      <c r="B47" s="4"/>
      <c r="C47" s="4"/>
      <c r="D47" s="4"/>
      <c r="E47" s="4"/>
      <c r="F47" s="4"/>
      <c r="G47" s="4"/>
      <c r="H47" s="4"/>
      <c r="I47" s="4"/>
      <c r="J47" s="4"/>
      <c r="K47" s="4"/>
      <c r="L47" s="4"/>
      <c r="M47" s="6"/>
      <c r="N47" s="6"/>
      <c r="O47" s="6"/>
      <c r="P47" s="6"/>
      <c r="Q47" s="6"/>
      <c r="R47" s="6"/>
      <c r="S47" s="4"/>
      <c r="T47" s="4"/>
      <c r="U47" s="4"/>
      <c r="V47" s="4"/>
      <c r="W47" s="4"/>
      <c r="X47" s="4"/>
      <c r="Y47" s="4"/>
      <c r="Z47" s="4"/>
      <c r="AA47" s="4"/>
      <c r="AB47" s="4"/>
      <c r="AC47" s="4"/>
      <c r="AD47" s="4"/>
      <c r="AE47" s="4"/>
      <c r="AF47" s="4"/>
      <c r="AG47" s="4"/>
      <c r="AH47" s="4"/>
      <c r="AI47" s="4"/>
      <c r="AJ47" s="4"/>
      <c r="AK47" s="4"/>
    </row>
    <row r="48" spans="1:37" s="2" customFormat="1" ht="22.25" customHeight="1">
      <c r="A48" s="4"/>
      <c r="B48" s="4"/>
      <c r="C48" s="4"/>
      <c r="D48" s="4"/>
      <c r="E48" s="4"/>
      <c r="F48" s="4"/>
      <c r="G48" s="4"/>
      <c r="H48" s="4"/>
      <c r="I48" s="4"/>
      <c r="J48" s="4"/>
      <c r="K48" s="4"/>
      <c r="L48" s="4"/>
      <c r="M48" s="6"/>
      <c r="N48" s="6"/>
      <c r="O48" s="6"/>
      <c r="P48" s="6"/>
      <c r="Q48" s="6"/>
      <c r="R48" s="6"/>
      <c r="S48" s="4"/>
      <c r="T48" s="4"/>
      <c r="U48" s="4"/>
      <c r="V48" s="4"/>
      <c r="W48" s="4"/>
      <c r="X48" s="4"/>
      <c r="Y48" s="4"/>
      <c r="Z48" s="4"/>
      <c r="AA48" s="4"/>
      <c r="AB48" s="4"/>
      <c r="AC48" s="4"/>
      <c r="AD48" s="4"/>
      <c r="AE48" s="4"/>
      <c r="AF48" s="4"/>
      <c r="AG48" s="4"/>
      <c r="AH48" s="4"/>
      <c r="AI48" s="4"/>
      <c r="AJ48" s="4"/>
      <c r="AK48" s="4"/>
    </row>
    <row r="49" spans="1:37" s="2" customFormat="1" ht="22.25" customHeight="1">
      <c r="A49" s="4"/>
      <c r="B49" s="6"/>
      <c r="C49" s="6"/>
      <c r="D49" s="6"/>
      <c r="E49" s="6"/>
      <c r="F49" s="6"/>
      <c r="G49" s="6"/>
      <c r="H49" s="6"/>
      <c r="I49" s="6"/>
      <c r="J49" s="6"/>
      <c r="K49" s="6"/>
      <c r="L49" s="6"/>
      <c r="M49" s="6"/>
      <c r="N49" s="6"/>
      <c r="O49" s="6"/>
      <c r="P49" s="6"/>
      <c r="Q49" s="6"/>
      <c r="R49" s="6"/>
      <c r="S49" s="4"/>
      <c r="T49" s="4"/>
      <c r="U49" s="4"/>
      <c r="V49" s="4"/>
      <c r="W49" s="4"/>
      <c r="X49" s="4"/>
      <c r="Y49" s="4"/>
      <c r="Z49" s="4"/>
      <c r="AA49" s="4"/>
      <c r="AB49" s="4"/>
      <c r="AC49" s="4"/>
      <c r="AD49" s="4"/>
      <c r="AE49" s="4"/>
      <c r="AF49" s="4"/>
      <c r="AG49" s="4"/>
      <c r="AH49" s="4"/>
      <c r="AI49" s="4"/>
      <c r="AJ49" s="4"/>
      <c r="AK49" s="4"/>
    </row>
    <row r="50" spans="1:37" ht="22.25" customHeight="1">
      <c r="A50" s="6"/>
      <c r="B50" s="6"/>
      <c r="C50" s="6"/>
      <c r="D50" s="6"/>
      <c r="E50" s="6"/>
      <c r="F50" s="6"/>
      <c r="G50" s="6"/>
      <c r="H50" s="6"/>
      <c r="I50" s="6" t="s">
        <v>52</v>
      </c>
      <c r="J50" s="6"/>
      <c r="K50" s="6"/>
      <c r="L50" s="6"/>
      <c r="M50" s="6"/>
      <c r="N50" s="6"/>
      <c r="O50" s="6"/>
      <c r="P50" s="6"/>
      <c r="Q50" s="6"/>
      <c r="R50" s="6"/>
      <c r="S50" s="4"/>
      <c r="T50" s="4"/>
      <c r="U50" s="4"/>
      <c r="V50" s="4"/>
      <c r="W50" s="4"/>
      <c r="X50" s="4"/>
      <c r="Y50" s="4"/>
      <c r="Z50" s="4"/>
      <c r="AA50" s="4"/>
      <c r="AB50" s="4"/>
      <c r="AC50" s="4"/>
      <c r="AD50" s="4"/>
      <c r="AE50" s="4"/>
      <c r="AF50" s="4"/>
      <c r="AG50" s="4"/>
      <c r="AH50" s="4"/>
      <c r="AI50" s="4"/>
      <c r="AJ50" s="4"/>
      <c r="AK50" s="4"/>
    </row>
    <row r="51" spans="1:37" s="14" customFormat="1" ht="22.25" customHeight="1">
      <c r="A51" s="6"/>
      <c r="B51" s="4"/>
      <c r="C51" s="4"/>
      <c r="D51" s="4"/>
      <c r="E51" s="4"/>
      <c r="F51" s="4"/>
      <c r="G51" s="4"/>
      <c r="H51" s="4"/>
      <c r="I51" s="4"/>
      <c r="J51" s="4"/>
      <c r="K51" s="4"/>
      <c r="L51" s="4"/>
      <c r="M51" s="4"/>
      <c r="N51" s="4"/>
      <c r="O51" s="4"/>
      <c r="P51" s="4"/>
      <c r="Q51" s="4"/>
      <c r="R51" s="4"/>
      <c r="S51" s="6"/>
      <c r="T51" s="6"/>
      <c r="U51" s="4"/>
      <c r="V51" s="4"/>
      <c r="W51" s="6"/>
      <c r="X51" s="4"/>
      <c r="Y51" s="4"/>
      <c r="Z51" s="6"/>
      <c r="AA51" s="4"/>
      <c r="AB51" s="4"/>
      <c r="AC51" s="6"/>
      <c r="AD51" s="4"/>
      <c r="AE51" s="4"/>
      <c r="AF51" s="6"/>
      <c r="AG51" s="4"/>
      <c r="AH51" s="4"/>
      <c r="AI51" s="6"/>
      <c r="AJ51" s="4"/>
      <c r="AK51" s="4"/>
    </row>
    <row r="52" spans="1:37" s="2" customFormat="1" ht="22" customHeight="1">
      <c r="A52" s="6"/>
      <c r="B52" s="6"/>
      <c r="C52" s="6"/>
      <c r="D52" s="6"/>
      <c r="E52" s="6"/>
      <c r="F52" s="6"/>
      <c r="G52" s="6"/>
      <c r="H52" s="6"/>
      <c r="I52" s="6"/>
      <c r="J52" s="6"/>
      <c r="K52" s="6"/>
      <c r="L52" s="6"/>
      <c r="M52" s="6"/>
      <c r="N52" s="6"/>
      <c r="O52" s="6"/>
      <c r="P52" s="6"/>
      <c r="Q52" s="6"/>
      <c r="R52" s="6"/>
      <c r="S52" s="6"/>
      <c r="T52" s="6"/>
      <c r="U52" s="4"/>
      <c r="V52" s="4"/>
      <c r="W52" s="6"/>
      <c r="X52" s="4"/>
      <c r="Y52" s="4"/>
      <c r="Z52" s="6"/>
      <c r="AA52" s="4"/>
      <c r="AB52" s="4"/>
      <c r="AC52" s="6"/>
      <c r="AD52" s="4"/>
      <c r="AE52" s="4"/>
      <c r="AF52" s="6"/>
      <c r="AG52" s="4"/>
      <c r="AH52" s="4"/>
      <c r="AI52" s="6"/>
      <c r="AJ52" s="4"/>
      <c r="AK52" s="4"/>
    </row>
    <row r="53" spans="1:37" s="2" customFormat="1" ht="30" customHeight="1">
      <c r="A53" s="4"/>
      <c r="B53" s="6"/>
      <c r="C53" s="6"/>
      <c r="D53" s="6"/>
      <c r="E53" s="6"/>
      <c r="F53" s="6"/>
      <c r="G53" s="6"/>
      <c r="H53" s="6"/>
      <c r="I53" s="6"/>
      <c r="J53" s="6"/>
      <c r="K53" s="6"/>
      <c r="L53" s="6"/>
      <c r="M53" s="6"/>
      <c r="N53" s="6"/>
      <c r="O53" s="6"/>
      <c r="P53" s="6"/>
      <c r="Q53" s="6"/>
      <c r="R53" s="6"/>
      <c r="S53" s="6"/>
      <c r="T53" s="6"/>
      <c r="U53" s="4"/>
      <c r="V53" s="4"/>
      <c r="W53" s="6"/>
      <c r="X53" s="4"/>
      <c r="Y53" s="4"/>
      <c r="Z53" s="6"/>
      <c r="AA53" s="4"/>
      <c r="AB53" s="4"/>
      <c r="AC53" s="6"/>
      <c r="AD53" s="4"/>
      <c r="AE53" s="4"/>
      <c r="AF53" s="6"/>
      <c r="AG53" s="4"/>
      <c r="AH53" s="4"/>
      <c r="AI53" s="6"/>
      <c r="AJ53" s="4"/>
      <c r="AK53" s="4"/>
    </row>
    <row r="54" spans="1:37" s="2" customFormat="1" ht="22.25" customHeight="1">
      <c r="A54" s="4"/>
      <c r="B54" s="6"/>
      <c r="C54" s="6"/>
      <c r="D54" s="6"/>
      <c r="E54" s="6"/>
      <c r="F54" s="6"/>
      <c r="G54" s="6"/>
      <c r="H54" s="6"/>
      <c r="I54" s="6"/>
      <c r="J54" s="6"/>
      <c r="K54" s="6"/>
      <c r="L54" s="6"/>
      <c r="M54" s="6"/>
      <c r="N54" s="6"/>
      <c r="O54" s="6"/>
      <c r="P54" s="6"/>
      <c r="Q54" s="6"/>
      <c r="R54" s="6"/>
      <c r="S54" s="4"/>
      <c r="T54" s="4"/>
      <c r="U54" s="4"/>
      <c r="V54" s="4"/>
      <c r="W54" s="4"/>
      <c r="X54" s="4"/>
      <c r="Y54" s="4"/>
      <c r="Z54" s="4"/>
      <c r="AA54" s="4"/>
      <c r="AB54" s="4"/>
      <c r="AC54" s="4"/>
      <c r="AD54" s="4"/>
      <c r="AE54" s="4"/>
      <c r="AF54" s="4"/>
      <c r="AG54" s="4"/>
      <c r="AH54" s="4"/>
      <c r="AI54" s="4"/>
      <c r="AJ54" s="4"/>
      <c r="AK54" s="4"/>
    </row>
    <row r="55" spans="1:37" s="2" customFormat="1" ht="22.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s="2" customFormat="1" ht="22.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s="2" customFormat="1" ht="22.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s="2" customFormat="1" ht="22.25" customHeight="1">
      <c r="A58" s="6"/>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ht="22.25" customHeight="1">
      <c r="A59" s="6"/>
      <c r="C59" s="4"/>
      <c r="D59" s="4"/>
      <c r="E59" s="4"/>
      <c r="F59" s="4"/>
      <c r="G59" s="4"/>
      <c r="H59" s="4"/>
      <c r="I59" s="4"/>
      <c r="J59" s="4"/>
      <c r="K59" s="4"/>
      <c r="L59" s="4"/>
      <c r="M59" s="4"/>
      <c r="N59" s="4"/>
      <c r="O59" s="4"/>
      <c r="R59" s="4"/>
      <c r="S59" s="4"/>
      <c r="T59" s="4"/>
      <c r="U59" s="4"/>
      <c r="V59" s="4"/>
      <c r="W59" s="4"/>
      <c r="X59" s="4"/>
      <c r="Y59" s="4"/>
      <c r="Z59" s="4"/>
      <c r="AA59" s="4"/>
      <c r="AB59" s="4"/>
      <c r="AC59" s="4"/>
      <c r="AD59" s="4"/>
      <c r="AE59" s="4"/>
      <c r="AF59" s="4"/>
      <c r="AG59" s="4"/>
      <c r="AH59" s="4"/>
      <c r="AI59" s="4"/>
      <c r="AJ59" s="4"/>
      <c r="AK59" s="4"/>
    </row>
    <row r="60" spans="1:37" s="14" customFormat="1" ht="22.25" customHeight="1">
      <c r="A60" s="6"/>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spans="1:37" s="2" customFormat="1" ht="22" customHeight="1">
      <c r="A61" s="4"/>
      <c r="B61" s="6"/>
      <c r="C61" s="6"/>
      <c r="D61" s="6"/>
      <c r="E61" s="6"/>
      <c r="F61" s="6"/>
      <c r="G61" s="6"/>
      <c r="H61" s="6"/>
      <c r="I61" s="6"/>
      <c r="J61" s="6"/>
      <c r="K61" s="6"/>
      <c r="L61" s="6"/>
      <c r="M61" s="6"/>
      <c r="N61" s="6"/>
      <c r="O61" s="6"/>
      <c r="P61" s="6"/>
      <c r="Q61" s="6"/>
      <c r="R61" s="6"/>
      <c r="S61" s="4"/>
      <c r="T61" s="4"/>
      <c r="U61" s="4"/>
      <c r="V61" s="4"/>
      <c r="W61" s="4"/>
      <c r="X61" s="4"/>
      <c r="Y61" s="4"/>
      <c r="Z61" s="4"/>
      <c r="AA61" s="4"/>
      <c r="AB61" s="4"/>
      <c r="AC61" s="4"/>
      <c r="AD61" s="4"/>
      <c r="AE61" s="4"/>
      <c r="AF61" s="4"/>
      <c r="AG61" s="4"/>
      <c r="AH61" s="4"/>
      <c r="AI61" s="4"/>
      <c r="AJ61" s="4"/>
      <c r="AK61" s="4"/>
    </row>
    <row r="62" spans="1:37" s="2" customFormat="1" ht="30" customHeight="1">
      <c r="A62" s="4"/>
      <c r="B62" s="6"/>
      <c r="C62" s="6"/>
      <c r="D62" s="6"/>
      <c r="E62" s="6"/>
      <c r="F62" s="6"/>
      <c r="G62" s="6"/>
      <c r="H62" s="6"/>
      <c r="I62" s="6"/>
      <c r="J62" s="6"/>
      <c r="K62" s="6"/>
      <c r="L62" s="6"/>
      <c r="M62" s="6"/>
      <c r="N62" s="6"/>
      <c r="O62" s="6"/>
      <c r="P62" s="6"/>
      <c r="Q62" s="6"/>
      <c r="R62" s="6"/>
      <c r="S62" s="4"/>
      <c r="T62" s="4"/>
      <c r="U62" s="4"/>
      <c r="V62" s="4"/>
      <c r="W62" s="4"/>
      <c r="X62" s="4"/>
      <c r="Y62" s="4"/>
      <c r="Z62" s="4"/>
      <c r="AA62" s="4"/>
      <c r="AB62" s="4"/>
      <c r="AC62" s="4"/>
      <c r="AD62" s="4"/>
      <c r="AE62" s="4"/>
      <c r="AF62" s="4"/>
      <c r="AG62" s="4"/>
      <c r="AH62" s="4"/>
      <c r="AI62" s="4"/>
      <c r="AJ62" s="4"/>
      <c r="AK62" s="4"/>
    </row>
    <row r="63" spans="1:37" s="2" customFormat="1" ht="22.25" customHeight="1">
      <c r="A63" s="4"/>
      <c r="B63" s="4"/>
      <c r="C63" s="4"/>
      <c r="D63" s="4"/>
      <c r="E63" s="4"/>
      <c r="F63" s="4"/>
      <c r="G63" s="4"/>
      <c r="H63" s="4"/>
      <c r="I63" s="4"/>
      <c r="J63" s="4"/>
      <c r="K63" s="4"/>
      <c r="L63" s="4"/>
      <c r="M63" s="6"/>
      <c r="N63" s="6"/>
      <c r="O63" s="6"/>
      <c r="P63" s="6"/>
      <c r="Q63" s="6"/>
      <c r="R63" s="6"/>
      <c r="S63" s="4"/>
      <c r="T63" s="4"/>
      <c r="U63" s="4"/>
      <c r="V63" s="4"/>
      <c r="W63" s="4"/>
      <c r="X63" s="4"/>
      <c r="Y63" s="4"/>
      <c r="Z63" s="4"/>
      <c r="AA63" s="4"/>
      <c r="AB63" s="4"/>
      <c r="AC63" s="4"/>
      <c r="AD63" s="4"/>
      <c r="AE63" s="4"/>
      <c r="AF63" s="4"/>
      <c r="AG63" s="4"/>
      <c r="AH63" s="4"/>
      <c r="AI63" s="4"/>
      <c r="AJ63" s="4"/>
      <c r="AK63" s="4"/>
    </row>
    <row r="64" spans="1:37" s="2" customFormat="1" ht="22.25" customHeight="1">
      <c r="A64" s="4"/>
      <c r="B64" s="4"/>
      <c r="C64" s="4"/>
      <c r="D64" s="4"/>
      <c r="E64" s="4"/>
      <c r="F64" s="4"/>
      <c r="G64" s="4"/>
      <c r="H64" s="4"/>
      <c r="I64" s="4"/>
      <c r="J64" s="4"/>
      <c r="K64" s="4"/>
      <c r="L64" s="4"/>
      <c r="M64" s="6"/>
      <c r="N64" s="6"/>
      <c r="O64" s="6"/>
      <c r="P64" s="6"/>
      <c r="Q64" s="6"/>
      <c r="R64" s="6"/>
      <c r="S64" s="4"/>
      <c r="T64" s="4"/>
      <c r="U64" s="4"/>
      <c r="V64" s="4"/>
      <c r="W64" s="4"/>
      <c r="X64" s="4"/>
      <c r="Y64" s="4"/>
      <c r="Z64" s="4"/>
      <c r="AA64" s="4"/>
      <c r="AB64" s="4"/>
      <c r="AC64" s="4"/>
      <c r="AD64" s="4"/>
      <c r="AE64" s="4"/>
      <c r="AF64" s="4"/>
      <c r="AG64" s="4"/>
      <c r="AH64" s="4"/>
      <c r="AI64" s="4"/>
      <c r="AJ64" s="4"/>
      <c r="AK64" s="4"/>
    </row>
    <row r="65" spans="1:37" s="2" customFormat="1" ht="22.25" customHeight="1">
      <c r="A65" s="4"/>
      <c r="B65" s="4"/>
      <c r="C65" s="4"/>
      <c r="D65" s="4"/>
      <c r="E65" s="4"/>
      <c r="F65" s="4"/>
      <c r="G65" s="4"/>
      <c r="H65" s="4"/>
      <c r="I65" s="4"/>
      <c r="J65" s="4"/>
      <c r="K65" s="4"/>
      <c r="L65" s="4"/>
      <c r="M65" s="6"/>
      <c r="N65" s="6"/>
      <c r="O65" s="6"/>
      <c r="P65" s="6"/>
      <c r="Q65" s="6"/>
      <c r="R65" s="6"/>
      <c r="S65" s="4"/>
      <c r="T65" s="4"/>
      <c r="U65" s="4"/>
      <c r="V65" s="4"/>
      <c r="W65" s="4"/>
      <c r="X65" s="4"/>
      <c r="Y65" s="4"/>
      <c r="Z65" s="4"/>
      <c r="AA65" s="4"/>
      <c r="AB65" s="4"/>
      <c r="AC65" s="4"/>
      <c r="AD65" s="4"/>
      <c r="AE65" s="4"/>
      <c r="AF65" s="4"/>
      <c r="AG65" s="4"/>
      <c r="AH65" s="4"/>
      <c r="AI65" s="4"/>
      <c r="AJ65" s="4"/>
      <c r="AK65" s="4"/>
    </row>
    <row r="66" spans="1:37" ht="22.25" customHeight="1">
      <c r="A66" s="4"/>
      <c r="B66" s="6"/>
      <c r="C66" s="6"/>
      <c r="D66" s="6"/>
      <c r="E66" s="6"/>
      <c r="F66" s="6"/>
      <c r="G66" s="6"/>
      <c r="H66" s="6"/>
      <c r="I66" s="6"/>
      <c r="J66" s="6"/>
      <c r="K66" s="6"/>
      <c r="L66" s="6"/>
      <c r="M66" s="6"/>
      <c r="N66" s="6"/>
      <c r="O66" s="6"/>
      <c r="P66" s="6"/>
      <c r="Q66" s="6"/>
      <c r="R66" s="6"/>
      <c r="S66" s="4"/>
      <c r="T66" s="4"/>
      <c r="U66" s="4"/>
      <c r="V66" s="4"/>
      <c r="W66" s="4"/>
      <c r="X66" s="4"/>
      <c r="Y66" s="4"/>
      <c r="Z66" s="4"/>
      <c r="AA66" s="4"/>
      <c r="AB66" s="4"/>
      <c r="AC66" s="4"/>
      <c r="AD66" s="4"/>
      <c r="AE66" s="4"/>
      <c r="AF66" s="4"/>
      <c r="AG66" s="4"/>
      <c r="AH66" s="4"/>
      <c r="AI66" s="4"/>
      <c r="AJ66" s="4"/>
      <c r="AK66" s="4"/>
    </row>
    <row r="67" spans="1:37" s="14" customFormat="1" ht="22.25" customHeight="1">
      <c r="A67" s="6"/>
      <c r="B67" s="6"/>
      <c r="C67" s="6"/>
      <c r="D67" s="6"/>
      <c r="E67" s="6"/>
      <c r="F67" s="6"/>
      <c r="G67" s="6"/>
      <c r="H67" s="6"/>
      <c r="I67" s="6"/>
      <c r="J67" s="6"/>
      <c r="K67" s="6"/>
      <c r="L67" s="6"/>
      <c r="M67" s="6"/>
      <c r="N67" s="6"/>
      <c r="O67" s="6"/>
      <c r="P67" s="6"/>
      <c r="Q67" s="6"/>
      <c r="R67" s="6"/>
      <c r="S67" s="4"/>
      <c r="T67" s="4"/>
      <c r="U67" s="4"/>
      <c r="V67" s="4"/>
      <c r="W67" s="4"/>
      <c r="X67" s="4"/>
      <c r="Y67" s="4"/>
      <c r="Z67" s="4"/>
      <c r="AA67" s="4"/>
      <c r="AB67" s="4"/>
      <c r="AC67" s="4"/>
      <c r="AD67" s="4"/>
      <c r="AE67" s="4"/>
      <c r="AF67" s="4"/>
      <c r="AG67" s="4"/>
      <c r="AH67" s="4"/>
      <c r="AI67" s="4"/>
      <c r="AJ67" s="4"/>
      <c r="AK67" s="4"/>
    </row>
    <row r="68" spans="1:37" s="2" customFormat="1" ht="22" customHeight="1">
      <c r="A68" s="6"/>
      <c r="B68" s="4"/>
      <c r="C68" s="4"/>
      <c r="D68" s="4"/>
      <c r="E68" s="4"/>
      <c r="F68" s="4"/>
      <c r="G68" s="4"/>
      <c r="H68" s="4"/>
      <c r="I68" s="4"/>
      <c r="J68" s="4"/>
      <c r="K68" s="4"/>
      <c r="L68" s="4"/>
      <c r="M68" s="4"/>
      <c r="N68" s="4"/>
      <c r="O68" s="4"/>
      <c r="P68" s="4"/>
      <c r="Q68" s="4"/>
      <c r="R68" s="4"/>
      <c r="S68" s="6"/>
      <c r="T68" s="6"/>
      <c r="U68" s="4"/>
      <c r="V68" s="4"/>
      <c r="W68" s="6"/>
      <c r="X68" s="4"/>
      <c r="Y68" s="4"/>
      <c r="Z68" s="6"/>
      <c r="AA68" s="4"/>
      <c r="AB68" s="4"/>
      <c r="AC68" s="6"/>
      <c r="AD68" s="4"/>
      <c r="AE68" s="4"/>
      <c r="AF68" s="6"/>
      <c r="AG68" s="4"/>
      <c r="AH68" s="4"/>
      <c r="AI68" s="6"/>
      <c r="AJ68" s="4"/>
      <c r="AK68" s="4"/>
    </row>
    <row r="69" spans="1:37" s="2" customFormat="1" ht="30" customHeight="1">
      <c r="A69" s="6"/>
      <c r="B69" s="6"/>
      <c r="C69" s="6"/>
      <c r="D69" s="6"/>
      <c r="E69" s="6"/>
      <c r="F69" s="6"/>
      <c r="G69" s="6"/>
      <c r="H69" s="6"/>
      <c r="I69" s="6"/>
      <c r="J69" s="6"/>
      <c r="K69" s="6"/>
      <c r="L69" s="6"/>
      <c r="M69" s="6"/>
      <c r="N69" s="6"/>
      <c r="O69" s="6"/>
      <c r="P69" s="6"/>
      <c r="Q69" s="6"/>
      <c r="R69" s="6"/>
      <c r="S69" s="6"/>
      <c r="T69" s="6"/>
      <c r="U69" s="4"/>
      <c r="V69" s="4"/>
      <c r="W69" s="6"/>
      <c r="X69" s="4"/>
      <c r="Y69" s="4"/>
      <c r="Z69" s="6"/>
      <c r="AA69" s="4"/>
      <c r="AB69" s="4"/>
      <c r="AC69" s="6"/>
      <c r="AD69" s="4"/>
      <c r="AE69" s="4"/>
      <c r="AF69" s="6"/>
      <c r="AG69" s="4"/>
      <c r="AH69" s="4"/>
      <c r="AI69" s="6"/>
      <c r="AJ69" s="4"/>
      <c r="AK69" s="4"/>
    </row>
    <row r="70" spans="1:37" s="2" customFormat="1" ht="22.25" customHeight="1">
      <c r="A70" s="4"/>
      <c r="B70" s="6"/>
      <c r="C70" s="6"/>
      <c r="D70" s="6"/>
      <c r="E70" s="6"/>
      <c r="F70" s="6"/>
      <c r="G70" s="6"/>
      <c r="H70" s="6"/>
      <c r="I70" s="6"/>
      <c r="J70" s="6"/>
      <c r="K70" s="6"/>
      <c r="L70" s="6"/>
      <c r="M70" s="6"/>
      <c r="N70" s="6"/>
      <c r="O70" s="6"/>
      <c r="P70" s="6"/>
      <c r="Q70" s="6"/>
      <c r="R70" s="6"/>
      <c r="S70" s="6"/>
      <c r="T70" s="6"/>
      <c r="U70" s="4"/>
      <c r="V70" s="4"/>
      <c r="W70" s="6"/>
      <c r="X70" s="4"/>
      <c r="Y70" s="4"/>
      <c r="Z70" s="6"/>
      <c r="AA70" s="4"/>
      <c r="AB70" s="4"/>
      <c r="AC70" s="6"/>
      <c r="AD70" s="4"/>
      <c r="AE70" s="4"/>
      <c r="AF70" s="6"/>
      <c r="AG70" s="4"/>
      <c r="AH70" s="4"/>
      <c r="AI70" s="6"/>
      <c r="AJ70" s="4"/>
      <c r="AK70" s="4"/>
    </row>
    <row r="71" spans="1:37" s="2" customFormat="1" ht="22.25" customHeight="1">
      <c r="A71" s="4"/>
      <c r="B71" s="6"/>
      <c r="C71" s="6"/>
      <c r="D71" s="6"/>
      <c r="E71" s="6"/>
      <c r="F71" s="6"/>
      <c r="G71" s="6"/>
      <c r="H71" s="6"/>
      <c r="I71" s="6"/>
      <c r="J71" s="6"/>
      <c r="K71" s="6"/>
      <c r="L71" s="6"/>
      <c r="M71" s="6"/>
      <c r="N71" s="6"/>
      <c r="O71" s="6"/>
      <c r="P71" s="6"/>
      <c r="Q71" s="6"/>
      <c r="R71" s="6"/>
      <c r="S71" s="4"/>
      <c r="T71" s="4"/>
      <c r="U71" s="4"/>
      <c r="V71" s="4"/>
      <c r="W71" s="4"/>
      <c r="X71" s="4"/>
      <c r="Y71" s="4"/>
      <c r="Z71" s="4"/>
      <c r="AA71" s="4"/>
      <c r="AB71" s="4"/>
      <c r="AC71" s="4"/>
      <c r="AD71" s="4"/>
      <c r="AE71" s="4"/>
      <c r="AF71" s="4"/>
      <c r="AG71" s="4"/>
      <c r="AH71" s="4"/>
      <c r="AI71" s="4"/>
      <c r="AJ71" s="4"/>
      <c r="AK71" s="4"/>
    </row>
    <row r="72" spans="1:37" s="2" customFormat="1" ht="22.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s="2" customFormat="1" ht="22.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s="2" customFormat="1" ht="22.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s="2" customFormat="1" ht="22.25" customHeight="1">
      <c r="A75" s="6"/>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ht="22.25" customHeight="1">
      <c r="A76" s="6"/>
      <c r="C76" s="4"/>
      <c r="D76" s="4"/>
      <c r="E76" s="4"/>
      <c r="F76" s="4"/>
      <c r="G76" s="4"/>
      <c r="H76" s="4"/>
      <c r="I76" s="4"/>
      <c r="J76" s="4"/>
      <c r="K76" s="4"/>
      <c r="L76" s="4"/>
      <c r="M76" s="4"/>
      <c r="N76" s="4"/>
      <c r="O76" s="4"/>
      <c r="R76" s="4"/>
      <c r="S76" s="4"/>
      <c r="T76" s="4"/>
      <c r="U76" s="4"/>
      <c r="V76" s="4"/>
      <c r="W76" s="4"/>
      <c r="X76" s="4"/>
      <c r="Y76" s="4"/>
      <c r="Z76" s="4"/>
      <c r="AA76" s="4"/>
      <c r="AB76" s="4"/>
      <c r="AC76" s="4"/>
      <c r="AD76" s="4"/>
      <c r="AE76" s="4"/>
      <c r="AF76" s="4"/>
      <c r="AG76" s="4"/>
      <c r="AH76" s="4"/>
      <c r="AI76" s="4"/>
      <c r="AJ76" s="4"/>
      <c r="AK76" s="4"/>
    </row>
    <row r="77" spans="1:37" s="14" customFormat="1" ht="22.25" customHeight="1">
      <c r="A77" s="6"/>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s="2" customFormat="1" ht="22" customHeight="1">
      <c r="A78" s="4"/>
      <c r="B78" s="6"/>
      <c r="C78" s="6"/>
      <c r="D78" s="6"/>
      <c r="E78" s="6"/>
      <c r="F78" s="6"/>
      <c r="G78" s="6"/>
      <c r="H78" s="6"/>
      <c r="I78" s="6"/>
      <c r="J78" s="6"/>
      <c r="K78" s="6"/>
      <c r="L78" s="6"/>
      <c r="M78" s="6"/>
      <c r="N78" s="6"/>
      <c r="O78" s="6"/>
      <c r="P78" s="6"/>
      <c r="Q78" s="6"/>
      <c r="R78" s="6"/>
      <c r="S78" s="4"/>
      <c r="T78" s="4"/>
      <c r="U78" s="4"/>
      <c r="V78" s="4"/>
      <c r="W78" s="4"/>
      <c r="X78" s="4"/>
      <c r="Y78" s="4"/>
      <c r="Z78" s="4"/>
      <c r="AA78" s="4"/>
      <c r="AB78" s="4"/>
      <c r="AC78" s="4"/>
      <c r="AD78" s="4"/>
      <c r="AE78" s="4"/>
      <c r="AF78" s="4"/>
      <c r="AG78" s="4"/>
      <c r="AH78" s="4"/>
      <c r="AI78" s="4"/>
      <c r="AJ78" s="4"/>
      <c r="AK78" s="4"/>
    </row>
    <row r="79" spans="1:37" s="2" customFormat="1" ht="30" customHeight="1">
      <c r="A79" s="4"/>
      <c r="B79" s="6"/>
      <c r="C79" s="6"/>
      <c r="D79" s="6"/>
      <c r="E79" s="6"/>
      <c r="F79" s="6"/>
      <c r="G79" s="6"/>
      <c r="H79" s="6"/>
      <c r="I79" s="6"/>
      <c r="J79" s="6"/>
      <c r="K79" s="6"/>
      <c r="L79" s="6"/>
      <c r="M79" s="6"/>
      <c r="N79" s="6"/>
      <c r="O79" s="6"/>
      <c r="P79" s="6"/>
      <c r="Q79" s="6"/>
      <c r="R79" s="6"/>
      <c r="S79" s="4"/>
      <c r="T79" s="4"/>
      <c r="U79" s="4"/>
      <c r="V79" s="4"/>
      <c r="W79" s="4"/>
      <c r="X79" s="4"/>
      <c r="Y79" s="4"/>
      <c r="Z79" s="4"/>
      <c r="AA79" s="4"/>
      <c r="AB79" s="4"/>
      <c r="AC79" s="4"/>
      <c r="AD79" s="4"/>
      <c r="AE79" s="4"/>
      <c r="AF79" s="4"/>
      <c r="AG79" s="4"/>
      <c r="AH79" s="4"/>
      <c r="AI79" s="4"/>
      <c r="AJ79" s="4"/>
      <c r="AK79" s="4"/>
    </row>
    <row r="80" spans="1:37" s="2" customFormat="1" ht="22.25" customHeight="1">
      <c r="A80" s="4"/>
      <c r="B80" s="4"/>
      <c r="C80" s="4"/>
      <c r="D80" s="4"/>
      <c r="E80" s="4"/>
      <c r="F80" s="4"/>
      <c r="G80" s="4"/>
      <c r="H80" s="4"/>
      <c r="I80" s="4"/>
      <c r="J80" s="4"/>
      <c r="K80" s="4"/>
      <c r="L80" s="4"/>
      <c r="M80" s="6"/>
      <c r="N80" s="6"/>
      <c r="O80" s="6"/>
      <c r="P80" s="6"/>
      <c r="Q80" s="6"/>
      <c r="R80" s="6"/>
      <c r="S80" s="4"/>
      <c r="T80" s="4"/>
      <c r="U80" s="4"/>
      <c r="V80" s="4"/>
      <c r="W80" s="4"/>
      <c r="X80" s="4"/>
      <c r="Y80" s="4"/>
      <c r="Z80" s="4"/>
      <c r="AA80" s="4"/>
      <c r="AB80" s="4"/>
      <c r="AC80" s="4"/>
      <c r="AD80" s="4"/>
      <c r="AE80" s="4"/>
      <c r="AF80" s="4"/>
      <c r="AG80" s="4"/>
      <c r="AH80" s="4"/>
      <c r="AI80" s="4"/>
      <c r="AJ80" s="4"/>
      <c r="AK80" s="4"/>
    </row>
    <row r="81" spans="1:37" s="2" customFormat="1" ht="22.25" customHeight="1">
      <c r="A81" s="4"/>
      <c r="B81" s="4"/>
      <c r="C81" s="4"/>
      <c r="D81" s="4"/>
      <c r="E81" s="4"/>
      <c r="F81" s="4"/>
      <c r="G81" s="4"/>
      <c r="H81" s="4"/>
      <c r="I81" s="4"/>
      <c r="J81" s="4"/>
      <c r="K81" s="4"/>
      <c r="L81" s="4"/>
      <c r="M81" s="6"/>
      <c r="N81" s="6"/>
      <c r="O81" s="6"/>
      <c r="P81" s="6"/>
      <c r="Q81" s="6"/>
      <c r="R81" s="6"/>
      <c r="S81" s="4"/>
      <c r="T81" s="4"/>
      <c r="U81" s="4"/>
      <c r="V81" s="4"/>
      <c r="W81" s="4"/>
      <c r="X81" s="4"/>
      <c r="Y81" s="4"/>
      <c r="Z81" s="4"/>
      <c r="AA81" s="4"/>
      <c r="AB81" s="4"/>
      <c r="AC81" s="4"/>
      <c r="AD81" s="4"/>
      <c r="AE81" s="4"/>
      <c r="AF81" s="4"/>
      <c r="AG81" s="4"/>
      <c r="AH81" s="4"/>
      <c r="AI81" s="4"/>
      <c r="AJ81" s="4"/>
      <c r="AK81" s="4"/>
    </row>
    <row r="82" spans="1:37" s="2" customFormat="1" ht="22.25" customHeight="1">
      <c r="A82" s="4"/>
      <c r="B82" s="4"/>
      <c r="C82" s="4"/>
      <c r="D82" s="4"/>
      <c r="E82" s="4"/>
      <c r="F82" s="4"/>
      <c r="G82" s="4"/>
      <c r="H82" s="4"/>
      <c r="I82" s="4"/>
      <c r="J82" s="4"/>
      <c r="K82" s="4"/>
      <c r="L82" s="4"/>
      <c r="M82" s="6"/>
      <c r="N82" s="6"/>
      <c r="O82" s="6"/>
      <c r="P82" s="6"/>
      <c r="Q82" s="6"/>
      <c r="R82" s="6"/>
      <c r="S82" s="4"/>
      <c r="T82" s="4"/>
      <c r="U82" s="4"/>
      <c r="V82" s="4"/>
      <c r="W82" s="4"/>
      <c r="X82" s="4"/>
      <c r="Y82" s="4"/>
      <c r="Z82" s="4"/>
      <c r="AA82" s="4"/>
      <c r="AB82" s="4"/>
      <c r="AC82" s="4"/>
      <c r="AD82" s="4"/>
      <c r="AE82" s="4"/>
      <c r="AF82" s="4"/>
      <c r="AG82" s="4"/>
      <c r="AH82" s="4"/>
      <c r="AI82" s="4"/>
      <c r="AJ82" s="4"/>
      <c r="AK82" s="4"/>
    </row>
    <row r="83" spans="1:37" s="2" customFormat="1" ht="22.25" customHeight="1">
      <c r="A83" s="4"/>
      <c r="B83" s="6"/>
      <c r="C83" s="6"/>
      <c r="D83" s="6"/>
      <c r="E83" s="6"/>
      <c r="F83" s="6"/>
      <c r="G83" s="6"/>
      <c r="H83" s="6"/>
      <c r="I83" s="6"/>
      <c r="J83" s="6"/>
      <c r="K83" s="6"/>
      <c r="L83" s="6"/>
      <c r="M83" s="6"/>
      <c r="N83" s="6"/>
      <c r="O83" s="6"/>
      <c r="P83" s="6"/>
      <c r="Q83" s="6"/>
      <c r="R83" s="6"/>
      <c r="S83" s="4"/>
      <c r="T83" s="4"/>
      <c r="U83" s="4"/>
      <c r="V83" s="4"/>
      <c r="W83" s="4"/>
      <c r="X83" s="4"/>
      <c r="Y83" s="4"/>
      <c r="Z83" s="4"/>
      <c r="AA83" s="4"/>
      <c r="AB83" s="4"/>
      <c r="AC83" s="4"/>
      <c r="AD83" s="4"/>
      <c r="AE83" s="4"/>
      <c r="AF83" s="4"/>
      <c r="AG83" s="4"/>
      <c r="AH83" s="4"/>
      <c r="AI83" s="4"/>
      <c r="AJ83" s="4"/>
      <c r="AK83" s="4"/>
    </row>
    <row r="84" spans="1:37" ht="22.25" customHeight="1">
      <c r="A84" s="6"/>
      <c r="B84" s="6"/>
      <c r="C84" s="6"/>
      <c r="D84" s="6"/>
      <c r="E84" s="6"/>
      <c r="F84" s="6"/>
      <c r="G84" s="6"/>
      <c r="H84" s="6"/>
      <c r="I84" s="6"/>
      <c r="J84" s="6"/>
      <c r="K84" s="6"/>
      <c r="L84" s="6"/>
      <c r="M84" s="6"/>
      <c r="N84" s="6"/>
      <c r="O84" s="6"/>
      <c r="P84" s="6"/>
      <c r="Q84" s="6"/>
      <c r="R84" s="6"/>
      <c r="S84" s="4"/>
      <c r="T84" s="4"/>
      <c r="U84" s="4"/>
      <c r="V84" s="4"/>
      <c r="W84" s="4"/>
      <c r="X84" s="4"/>
      <c r="Y84" s="4"/>
      <c r="Z84" s="4"/>
      <c r="AA84" s="4"/>
      <c r="AB84" s="4"/>
      <c r="AC84" s="4"/>
      <c r="AD84" s="4"/>
      <c r="AE84" s="4"/>
      <c r="AF84" s="4"/>
      <c r="AG84" s="4"/>
      <c r="AH84" s="4"/>
      <c r="AI84" s="4"/>
      <c r="AJ84" s="4"/>
      <c r="AK84" s="4"/>
    </row>
    <row r="85" spans="1:37" s="14" customFormat="1" ht="22.25" customHeight="1">
      <c r="A85" s="6"/>
      <c r="B85" s="4"/>
      <c r="C85" s="4"/>
      <c r="D85" s="4"/>
      <c r="E85" s="4"/>
      <c r="F85" s="4"/>
      <c r="G85" s="4"/>
      <c r="H85" s="4"/>
      <c r="I85" s="4"/>
      <c r="J85" s="4"/>
      <c r="K85" s="4"/>
      <c r="L85" s="4"/>
      <c r="M85" s="4"/>
      <c r="N85" s="4"/>
      <c r="O85" s="4"/>
      <c r="P85" s="4"/>
      <c r="Q85" s="4"/>
      <c r="R85" s="4"/>
      <c r="S85" s="6"/>
      <c r="T85" s="6"/>
      <c r="U85" s="4"/>
      <c r="V85" s="4"/>
      <c r="W85" s="6"/>
      <c r="X85" s="4"/>
      <c r="Y85" s="4"/>
      <c r="Z85" s="6"/>
      <c r="AA85" s="4"/>
      <c r="AB85" s="4"/>
      <c r="AC85" s="6"/>
      <c r="AD85" s="4"/>
      <c r="AE85" s="4"/>
      <c r="AF85" s="6"/>
      <c r="AG85" s="4"/>
      <c r="AH85" s="4"/>
      <c r="AI85" s="6"/>
      <c r="AJ85" s="4"/>
      <c r="AK85" s="4"/>
    </row>
    <row r="86" spans="1:37" s="2" customFormat="1" ht="22" customHeight="1">
      <c r="A86" s="6"/>
      <c r="B86" s="6"/>
      <c r="C86" s="6"/>
      <c r="D86" s="6"/>
      <c r="E86" s="6"/>
      <c r="F86" s="6"/>
      <c r="G86" s="6"/>
      <c r="H86" s="6"/>
      <c r="I86" s="6"/>
      <c r="J86" s="6"/>
      <c r="K86" s="6"/>
      <c r="L86" s="6"/>
      <c r="M86" s="6"/>
      <c r="N86" s="6"/>
      <c r="O86" s="6"/>
      <c r="P86" s="6"/>
      <c r="Q86" s="6"/>
      <c r="R86" s="6"/>
      <c r="S86" s="6"/>
      <c r="T86" s="6"/>
      <c r="U86" s="4"/>
      <c r="V86" s="4"/>
      <c r="W86" s="6"/>
      <c r="X86" s="4"/>
      <c r="Y86" s="4"/>
      <c r="Z86" s="6"/>
      <c r="AA86" s="4"/>
      <c r="AB86" s="4"/>
      <c r="AC86" s="6"/>
      <c r="AD86" s="4"/>
      <c r="AE86" s="4"/>
      <c r="AF86" s="6"/>
      <c r="AG86" s="4"/>
      <c r="AH86" s="4"/>
      <c r="AI86" s="6"/>
      <c r="AJ86" s="4"/>
      <c r="AK86" s="4"/>
    </row>
    <row r="87" spans="1:37" s="2" customFormat="1" ht="30" customHeight="1">
      <c r="A87" s="4"/>
      <c r="B87" s="6"/>
      <c r="C87" s="6"/>
      <c r="D87" s="6"/>
      <c r="E87" s="6"/>
      <c r="F87" s="6"/>
      <c r="G87" s="6"/>
      <c r="H87" s="6"/>
      <c r="I87" s="6"/>
      <c r="J87" s="6"/>
      <c r="K87" s="6"/>
      <c r="L87" s="6"/>
      <c r="M87" s="6"/>
      <c r="N87" s="6"/>
      <c r="O87" s="6"/>
      <c r="P87" s="6"/>
      <c r="Q87" s="6"/>
      <c r="R87" s="6"/>
      <c r="S87" s="6"/>
      <c r="T87" s="6"/>
      <c r="U87" s="4"/>
      <c r="V87" s="4"/>
      <c r="W87" s="6"/>
      <c r="X87" s="4"/>
      <c r="Y87" s="4"/>
      <c r="Z87" s="6"/>
      <c r="AA87" s="4"/>
      <c r="AB87" s="4"/>
      <c r="AC87" s="6"/>
      <c r="AD87" s="4"/>
      <c r="AE87" s="4"/>
      <c r="AF87" s="6"/>
      <c r="AG87" s="4"/>
      <c r="AH87" s="4"/>
      <c r="AI87" s="6"/>
      <c r="AJ87" s="4"/>
      <c r="AK87" s="4"/>
    </row>
    <row r="88" spans="1:37" s="2" customFormat="1" ht="22.25" customHeight="1">
      <c r="A88" s="4"/>
      <c r="B88" s="6"/>
      <c r="C88" s="6"/>
      <c r="D88" s="6"/>
      <c r="E88" s="6"/>
      <c r="F88" s="6"/>
      <c r="G88" s="6"/>
      <c r="H88" s="6"/>
      <c r="I88" s="6"/>
      <c r="J88" s="6"/>
      <c r="K88" s="6"/>
      <c r="L88" s="6"/>
      <c r="M88" s="6"/>
      <c r="N88" s="6"/>
      <c r="O88" s="6"/>
      <c r="P88" s="6"/>
      <c r="Q88" s="6"/>
      <c r="R88" s="6"/>
      <c r="S88" s="4"/>
      <c r="T88" s="4"/>
      <c r="U88" s="4"/>
      <c r="V88" s="4"/>
      <c r="W88" s="4"/>
      <c r="X88" s="4"/>
      <c r="Y88" s="4"/>
      <c r="Z88" s="4"/>
      <c r="AA88" s="4"/>
      <c r="AB88" s="4"/>
      <c r="AC88" s="4"/>
      <c r="AD88" s="4"/>
      <c r="AE88" s="4"/>
      <c r="AF88" s="4"/>
      <c r="AG88" s="4"/>
      <c r="AH88" s="4"/>
      <c r="AI88" s="4"/>
      <c r="AJ88" s="4"/>
      <c r="AK88" s="4"/>
    </row>
    <row r="89" spans="1:37" s="2" customFormat="1" ht="22.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s="2" customFormat="1" ht="22.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s="2" customFormat="1" ht="22.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ht="22.25" customHeight="1">
      <c r="A92" s="6"/>
      <c r="C92" s="4"/>
      <c r="D92" s="4"/>
      <c r="E92" s="4"/>
      <c r="F92" s="4"/>
      <c r="G92" s="4"/>
      <c r="H92" s="4"/>
      <c r="I92" s="4"/>
      <c r="J92" s="4"/>
      <c r="K92" s="4"/>
      <c r="L92" s="4"/>
      <c r="M92" s="4"/>
      <c r="N92" s="4"/>
      <c r="O92" s="4"/>
      <c r="R92" s="4"/>
      <c r="S92" s="4"/>
      <c r="T92" s="4"/>
      <c r="U92" s="4"/>
      <c r="V92" s="4"/>
      <c r="W92" s="4"/>
      <c r="X92" s="4"/>
      <c r="Y92" s="4"/>
      <c r="Z92" s="4"/>
      <c r="AA92" s="4"/>
      <c r="AB92" s="4"/>
      <c r="AC92" s="4"/>
      <c r="AD92" s="4"/>
      <c r="AE92" s="4"/>
      <c r="AF92" s="4"/>
      <c r="AG92" s="4"/>
      <c r="AH92" s="4"/>
      <c r="AI92" s="4"/>
      <c r="AJ92" s="4"/>
      <c r="AK92" s="4"/>
    </row>
    <row r="93" spans="1:37" s="14" customFormat="1" ht="22.25" customHeight="1">
      <c r="A93" s="6"/>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spans="1:37" s="2" customFormat="1" ht="22" customHeight="1">
      <c r="A94" s="6"/>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spans="1:37" s="2" customFormat="1" ht="30" customHeight="1">
      <c r="A95" s="4"/>
      <c r="B95" s="6"/>
      <c r="C95" s="6"/>
      <c r="D95" s="6"/>
      <c r="E95" s="6"/>
      <c r="F95" s="6"/>
      <c r="G95" s="6"/>
      <c r="H95" s="6"/>
      <c r="I95" s="6"/>
      <c r="J95" s="6"/>
      <c r="K95" s="6"/>
      <c r="L95" s="6"/>
      <c r="M95" s="6"/>
      <c r="N95" s="6"/>
      <c r="O95" s="6"/>
      <c r="P95" s="6"/>
      <c r="Q95" s="6"/>
      <c r="R95" s="6"/>
      <c r="S95" s="4"/>
      <c r="T95" s="4"/>
      <c r="U95" s="4"/>
      <c r="V95" s="4"/>
      <c r="W95" s="4"/>
      <c r="X95" s="4"/>
      <c r="Y95" s="4"/>
      <c r="Z95" s="4"/>
      <c r="AA95" s="4"/>
      <c r="AB95" s="4"/>
      <c r="AC95" s="4"/>
      <c r="AD95" s="4"/>
      <c r="AE95" s="4"/>
      <c r="AF95" s="4"/>
      <c r="AG95" s="4"/>
      <c r="AH95" s="4"/>
      <c r="AI95" s="4"/>
      <c r="AJ95" s="4"/>
      <c r="AK95" s="4"/>
    </row>
    <row r="96" spans="1:37" s="2" customFormat="1" ht="22.25" customHeight="1">
      <c r="A96" s="4"/>
      <c r="B96" s="6"/>
      <c r="C96" s="6"/>
      <c r="D96" s="6"/>
      <c r="E96" s="6"/>
      <c r="F96" s="6"/>
      <c r="G96" s="6"/>
      <c r="H96" s="6"/>
      <c r="I96" s="6"/>
      <c r="J96" s="6"/>
      <c r="K96" s="6"/>
      <c r="L96" s="6"/>
      <c r="M96" s="6"/>
      <c r="N96" s="6"/>
      <c r="O96" s="6"/>
      <c r="P96" s="6"/>
      <c r="Q96" s="6"/>
      <c r="R96" s="6"/>
      <c r="S96" s="4"/>
      <c r="T96" s="4"/>
      <c r="U96" s="4"/>
      <c r="V96" s="4"/>
      <c r="W96" s="4"/>
      <c r="X96" s="4"/>
      <c r="Y96" s="4"/>
      <c r="Z96" s="4"/>
      <c r="AA96" s="4"/>
      <c r="AB96" s="4"/>
      <c r="AC96" s="4"/>
      <c r="AD96" s="4"/>
      <c r="AE96" s="4"/>
      <c r="AF96" s="4"/>
      <c r="AG96" s="4"/>
      <c r="AH96" s="4"/>
      <c r="AI96" s="4"/>
      <c r="AJ96" s="4"/>
      <c r="AK96" s="4"/>
    </row>
    <row r="97" spans="1:37" s="2" customFormat="1" ht="22.25" customHeight="1">
      <c r="A97" s="4"/>
      <c r="B97" s="4"/>
      <c r="C97" s="4"/>
      <c r="D97" s="4"/>
      <c r="E97" s="4"/>
      <c r="F97" s="4"/>
      <c r="G97" s="4"/>
      <c r="H97" s="4"/>
      <c r="I97" s="4"/>
      <c r="J97" s="4"/>
      <c r="K97" s="4"/>
      <c r="L97" s="4"/>
      <c r="M97" s="6"/>
      <c r="N97" s="6"/>
      <c r="O97" s="6"/>
      <c r="P97" s="6"/>
      <c r="Q97" s="6"/>
      <c r="R97" s="6"/>
      <c r="S97" s="4"/>
      <c r="T97" s="4"/>
      <c r="U97" s="4"/>
      <c r="V97" s="4"/>
      <c r="W97" s="4"/>
      <c r="X97" s="4"/>
      <c r="Y97" s="4"/>
      <c r="Z97" s="4"/>
      <c r="AA97" s="4"/>
      <c r="AB97" s="4"/>
      <c r="AC97" s="4"/>
      <c r="AD97" s="4"/>
      <c r="AE97" s="4"/>
      <c r="AF97" s="4"/>
      <c r="AG97" s="4"/>
      <c r="AH97" s="4"/>
      <c r="AI97" s="4"/>
      <c r="AJ97" s="4"/>
      <c r="AK97" s="4"/>
    </row>
    <row r="98" spans="1:37" s="2" customFormat="1" ht="22.25" customHeight="1">
      <c r="A98" s="4"/>
      <c r="B98" s="4"/>
      <c r="C98" s="4"/>
      <c r="D98" s="4"/>
      <c r="E98" s="4"/>
      <c r="F98" s="4"/>
      <c r="G98" s="4"/>
      <c r="H98" s="4"/>
      <c r="I98" s="4"/>
      <c r="J98" s="4"/>
      <c r="K98" s="4"/>
      <c r="L98" s="4"/>
      <c r="M98" s="6"/>
      <c r="N98" s="6"/>
      <c r="O98" s="6"/>
      <c r="P98" s="6"/>
      <c r="Q98" s="6"/>
      <c r="R98" s="6"/>
      <c r="S98" s="4"/>
      <c r="T98" s="4"/>
      <c r="U98" s="4"/>
      <c r="V98" s="4"/>
      <c r="W98" s="4"/>
      <c r="X98" s="4"/>
      <c r="Y98" s="4"/>
      <c r="Z98" s="4"/>
      <c r="AA98" s="4"/>
      <c r="AB98" s="4"/>
      <c r="AC98" s="4"/>
      <c r="AD98" s="4"/>
      <c r="AE98" s="4"/>
      <c r="AF98" s="4"/>
      <c r="AG98" s="4"/>
      <c r="AH98" s="4"/>
      <c r="AI98" s="4"/>
      <c r="AJ98" s="4"/>
      <c r="AK98" s="4"/>
    </row>
    <row r="99" spans="1:37" s="2" customFormat="1" ht="22.25" customHeight="1">
      <c r="A99" s="4"/>
      <c r="B99" s="4"/>
      <c r="C99" s="4"/>
      <c r="D99" s="4"/>
      <c r="E99" s="4"/>
      <c r="F99" s="4"/>
      <c r="G99" s="4"/>
      <c r="H99" s="4"/>
      <c r="I99" s="4"/>
      <c r="J99" s="4"/>
      <c r="K99" s="4"/>
      <c r="L99" s="4"/>
      <c r="M99" s="6"/>
      <c r="N99" s="6"/>
      <c r="O99" s="6"/>
      <c r="P99" s="6"/>
      <c r="Q99" s="6"/>
      <c r="R99" s="6"/>
      <c r="S99" s="4"/>
      <c r="T99" s="4"/>
      <c r="U99" s="4"/>
      <c r="V99" s="4"/>
      <c r="W99" s="4"/>
      <c r="X99" s="4"/>
      <c r="Y99" s="4"/>
      <c r="Z99" s="4"/>
      <c r="AA99" s="4"/>
      <c r="AB99" s="4"/>
      <c r="AC99" s="4"/>
      <c r="AD99" s="4"/>
      <c r="AE99" s="4"/>
      <c r="AF99" s="4"/>
      <c r="AG99" s="4"/>
      <c r="AH99" s="4"/>
      <c r="AI99" s="4"/>
      <c r="AJ99" s="4"/>
      <c r="AK99" s="4"/>
    </row>
    <row r="100" spans="1:37" ht="22.25" customHeight="1">
      <c r="A100" s="4"/>
      <c r="B100" s="6"/>
      <c r="C100" s="6"/>
      <c r="D100" s="6"/>
      <c r="E100" s="6"/>
      <c r="F100" s="6"/>
      <c r="G100" s="6"/>
      <c r="H100" s="6"/>
      <c r="I100" s="6"/>
      <c r="J100" s="6"/>
      <c r="K100" s="6"/>
      <c r="L100" s="6"/>
      <c r="M100" s="6"/>
      <c r="N100" s="6"/>
      <c r="O100" s="6"/>
      <c r="P100" s="6"/>
      <c r="Q100" s="6"/>
      <c r="R100" s="6"/>
      <c r="S100" s="4"/>
      <c r="T100" s="4"/>
      <c r="U100" s="4"/>
      <c r="V100" s="4"/>
      <c r="W100" s="4"/>
      <c r="X100" s="4"/>
      <c r="Y100" s="4"/>
      <c r="Z100" s="4"/>
      <c r="AA100" s="4"/>
      <c r="AB100" s="4"/>
      <c r="AC100" s="4"/>
      <c r="AD100" s="4"/>
      <c r="AE100" s="4"/>
      <c r="AF100" s="4"/>
      <c r="AG100" s="4"/>
      <c r="AH100" s="4"/>
      <c r="AI100" s="4"/>
      <c r="AJ100" s="4"/>
      <c r="AK100" s="4"/>
    </row>
    <row r="101" spans="1:37" s="15" customFormat="1" ht="22.25" customHeight="1">
      <c r="A101" s="6"/>
      <c r="B101" s="6"/>
      <c r="C101" s="6"/>
      <c r="D101" s="6"/>
      <c r="E101" s="6"/>
      <c r="F101" s="6"/>
      <c r="G101" s="6"/>
      <c r="H101" s="6"/>
      <c r="I101" s="6"/>
      <c r="J101" s="6"/>
      <c r="K101" s="6"/>
      <c r="L101" s="6"/>
      <c r="M101" s="6"/>
      <c r="N101" s="6"/>
      <c r="O101" s="6"/>
      <c r="P101" s="6"/>
      <c r="Q101" s="6"/>
      <c r="R101" s="6"/>
      <c r="S101" s="4"/>
      <c r="T101" s="4"/>
      <c r="U101" s="4"/>
      <c r="V101" s="4"/>
      <c r="W101" s="4"/>
      <c r="X101" s="4"/>
      <c r="Y101" s="4"/>
      <c r="Z101" s="4"/>
      <c r="AA101" s="4"/>
      <c r="AB101" s="4"/>
      <c r="AC101" s="4"/>
      <c r="AD101" s="4"/>
      <c r="AE101" s="4"/>
      <c r="AF101" s="4"/>
      <c r="AG101" s="4"/>
      <c r="AH101" s="4"/>
      <c r="AI101" s="4"/>
      <c r="AJ101" s="4"/>
      <c r="AK101" s="4"/>
    </row>
    <row r="102" spans="1:37" ht="22" customHeight="1">
      <c r="A102" s="6"/>
      <c r="C102" s="4"/>
      <c r="D102" s="4"/>
      <c r="E102" s="4"/>
      <c r="F102" s="4"/>
      <c r="G102" s="4"/>
      <c r="H102" s="4"/>
      <c r="I102" s="4"/>
      <c r="J102" s="4"/>
      <c r="K102" s="4"/>
      <c r="L102" s="4"/>
      <c r="M102" s="4"/>
      <c r="N102" s="4"/>
      <c r="O102" s="4"/>
      <c r="R102" s="4"/>
      <c r="S102" s="6"/>
      <c r="T102" s="6"/>
      <c r="U102" s="4"/>
      <c r="V102" s="4"/>
      <c r="W102" s="6"/>
      <c r="X102" s="4"/>
      <c r="Y102" s="4"/>
      <c r="Z102" s="6"/>
      <c r="AA102" s="4"/>
      <c r="AB102" s="4"/>
      <c r="AC102" s="6"/>
      <c r="AD102" s="4"/>
      <c r="AE102" s="4"/>
      <c r="AF102" s="6"/>
      <c r="AG102" s="4"/>
      <c r="AH102" s="4"/>
      <c r="AI102" s="6"/>
      <c r="AJ102" s="4"/>
      <c r="AK102" s="4"/>
    </row>
    <row r="103" spans="1:37" ht="30" customHeight="1">
      <c r="A103" s="6"/>
      <c r="B103" s="6"/>
      <c r="C103" s="6"/>
      <c r="D103" s="6"/>
      <c r="E103" s="6"/>
      <c r="F103" s="6"/>
      <c r="G103" s="6"/>
      <c r="H103" s="6"/>
      <c r="I103" s="6"/>
      <c r="J103" s="6"/>
      <c r="K103" s="6"/>
      <c r="L103" s="6"/>
      <c r="M103" s="6"/>
      <c r="N103" s="6"/>
      <c r="O103" s="6"/>
      <c r="P103" s="6"/>
      <c r="Q103" s="6"/>
      <c r="R103" s="6"/>
      <c r="S103" s="6"/>
      <c r="T103" s="6"/>
      <c r="U103" s="4"/>
      <c r="V103" s="4"/>
      <c r="W103" s="6"/>
      <c r="X103" s="4"/>
      <c r="Y103" s="4"/>
      <c r="Z103" s="6"/>
      <c r="AA103" s="4"/>
      <c r="AB103" s="4"/>
      <c r="AC103" s="6"/>
      <c r="AD103" s="4"/>
      <c r="AE103" s="4"/>
      <c r="AF103" s="6"/>
      <c r="AG103" s="4"/>
      <c r="AH103" s="4"/>
      <c r="AI103" s="6"/>
      <c r="AJ103" s="4"/>
      <c r="AK103" s="4"/>
    </row>
    <row r="104" spans="1:37" ht="22" customHeight="1">
      <c r="A104" s="4"/>
      <c r="B104" s="6"/>
      <c r="C104" s="6"/>
      <c r="D104" s="6"/>
      <c r="E104" s="6"/>
      <c r="F104" s="6"/>
      <c r="G104" s="6"/>
      <c r="H104" s="6"/>
      <c r="I104" s="6"/>
      <c r="J104" s="6"/>
      <c r="K104" s="6"/>
      <c r="L104" s="6"/>
      <c r="M104" s="6"/>
      <c r="N104" s="6"/>
      <c r="O104" s="6"/>
      <c r="P104" s="6"/>
      <c r="Q104" s="6"/>
      <c r="R104" s="6"/>
      <c r="S104" s="6"/>
      <c r="T104" s="6"/>
      <c r="U104" s="4"/>
      <c r="V104" s="4"/>
      <c r="W104" s="6"/>
      <c r="X104" s="4"/>
      <c r="Y104" s="4"/>
      <c r="Z104" s="6"/>
      <c r="AA104" s="4"/>
      <c r="AB104" s="4"/>
      <c r="AC104" s="6"/>
      <c r="AD104" s="4"/>
      <c r="AE104" s="4"/>
      <c r="AF104" s="6"/>
      <c r="AG104" s="4"/>
      <c r="AH104" s="4"/>
      <c r="AI104" s="6"/>
      <c r="AJ104" s="4"/>
      <c r="AK104" s="4"/>
    </row>
    <row r="105" spans="1:37" ht="22" customHeight="1">
      <c r="A105" s="4"/>
      <c r="B105" s="6"/>
      <c r="C105" s="6"/>
      <c r="D105" s="6"/>
      <c r="E105" s="6"/>
      <c r="F105" s="6"/>
      <c r="G105" s="6"/>
      <c r="H105" s="6"/>
      <c r="I105" s="6"/>
      <c r="J105" s="6"/>
      <c r="K105" s="6"/>
      <c r="L105" s="6"/>
      <c r="M105" s="6"/>
      <c r="N105" s="6"/>
      <c r="O105" s="6"/>
      <c r="P105" s="6"/>
      <c r="Q105" s="6"/>
      <c r="R105" s="6"/>
      <c r="S105" s="4"/>
      <c r="T105" s="4"/>
      <c r="U105" s="4"/>
      <c r="V105" s="4"/>
      <c r="W105" s="4"/>
      <c r="X105" s="4"/>
      <c r="Y105" s="4"/>
      <c r="Z105" s="4"/>
      <c r="AA105" s="4"/>
      <c r="AB105" s="4"/>
      <c r="AC105" s="4"/>
      <c r="AD105" s="4"/>
      <c r="AE105" s="4"/>
      <c r="AF105" s="4"/>
      <c r="AG105" s="4"/>
      <c r="AH105" s="4"/>
      <c r="AI105" s="4"/>
      <c r="AJ105" s="4"/>
      <c r="AK105" s="4"/>
    </row>
    <row r="106" spans="1:37" ht="22" customHeight="1">
      <c r="A106" s="4"/>
      <c r="C106" s="4"/>
      <c r="D106" s="4"/>
      <c r="E106" s="4"/>
      <c r="F106" s="4"/>
      <c r="G106" s="4"/>
      <c r="H106" s="4"/>
      <c r="I106" s="4"/>
      <c r="J106" s="4"/>
      <c r="K106" s="4"/>
      <c r="L106" s="4"/>
      <c r="M106" s="4"/>
      <c r="N106" s="4"/>
      <c r="O106" s="4"/>
      <c r="R106" s="4"/>
      <c r="S106" s="4"/>
      <c r="T106" s="4"/>
      <c r="U106" s="4"/>
      <c r="V106" s="4"/>
      <c r="W106" s="4"/>
      <c r="X106" s="4"/>
      <c r="Y106" s="4"/>
      <c r="Z106" s="4"/>
      <c r="AA106" s="4"/>
      <c r="AB106" s="4"/>
      <c r="AC106" s="4"/>
      <c r="AD106" s="4"/>
      <c r="AE106" s="4"/>
      <c r="AF106" s="4"/>
      <c r="AG106" s="4"/>
      <c r="AH106" s="4"/>
      <c r="AI106" s="4"/>
      <c r="AJ106" s="4"/>
      <c r="AK106" s="4"/>
    </row>
    <row r="107" spans="1:37" ht="22" customHeight="1">
      <c r="A107" s="4"/>
      <c r="C107" s="4"/>
      <c r="D107" s="4"/>
      <c r="E107" s="4"/>
      <c r="F107" s="4"/>
      <c r="G107" s="4"/>
      <c r="H107" s="4"/>
      <c r="I107" s="4"/>
      <c r="J107" s="4"/>
      <c r="K107" s="4"/>
      <c r="L107" s="4"/>
      <c r="M107" s="4"/>
      <c r="N107" s="4"/>
      <c r="O107" s="4"/>
      <c r="R107" s="4"/>
      <c r="S107" s="4"/>
      <c r="T107" s="4"/>
      <c r="U107" s="4"/>
      <c r="V107" s="4"/>
      <c r="W107" s="4"/>
      <c r="X107" s="4"/>
      <c r="Y107" s="4"/>
      <c r="Z107" s="4"/>
      <c r="AA107" s="4"/>
      <c r="AB107" s="4"/>
      <c r="AC107" s="4"/>
      <c r="AD107" s="4"/>
      <c r="AE107" s="4"/>
      <c r="AF107" s="4"/>
      <c r="AG107" s="4"/>
      <c r="AH107" s="4"/>
      <c r="AI107" s="4"/>
      <c r="AJ107" s="4"/>
      <c r="AK107" s="4"/>
    </row>
    <row r="108" spans="1:37" ht="22" customHeight="1">
      <c r="A108" s="4"/>
      <c r="C108" s="4"/>
      <c r="D108" s="4"/>
      <c r="E108" s="4"/>
      <c r="F108" s="4"/>
      <c r="G108" s="4"/>
      <c r="H108" s="4"/>
      <c r="I108" s="4"/>
      <c r="J108" s="4"/>
      <c r="K108" s="4"/>
      <c r="L108" s="4"/>
      <c r="M108" s="4"/>
      <c r="N108" s="4"/>
      <c r="O108" s="4"/>
      <c r="R108" s="4"/>
      <c r="S108" s="4"/>
      <c r="T108" s="4"/>
      <c r="U108" s="4"/>
      <c r="V108" s="4"/>
      <c r="W108" s="4"/>
      <c r="X108" s="4"/>
      <c r="Y108" s="4"/>
      <c r="Z108" s="4"/>
      <c r="AA108" s="4"/>
      <c r="AB108" s="4"/>
      <c r="AC108" s="4"/>
      <c r="AD108" s="4"/>
      <c r="AE108" s="4"/>
      <c r="AF108" s="4"/>
      <c r="AG108" s="4"/>
      <c r="AH108" s="4"/>
      <c r="AI108" s="4"/>
      <c r="AJ108" s="4"/>
      <c r="AK108" s="4"/>
    </row>
    <row r="109" spans="1:37" ht="22" customHeight="1">
      <c r="A109" s="6"/>
      <c r="C109" s="4"/>
      <c r="D109" s="4"/>
      <c r="E109" s="4"/>
      <c r="F109" s="4"/>
      <c r="G109" s="4"/>
      <c r="H109" s="4"/>
      <c r="I109" s="4"/>
      <c r="J109" s="4"/>
      <c r="K109" s="4"/>
      <c r="L109" s="4"/>
      <c r="M109" s="4"/>
      <c r="N109" s="4"/>
      <c r="O109" s="4"/>
      <c r="R109" s="4"/>
      <c r="S109" s="4"/>
      <c r="T109" s="4"/>
      <c r="U109" s="4"/>
      <c r="V109" s="4"/>
      <c r="W109" s="4"/>
      <c r="X109" s="4"/>
      <c r="Y109" s="4"/>
      <c r="Z109" s="4"/>
      <c r="AA109" s="4"/>
      <c r="AB109" s="4"/>
      <c r="AC109" s="4"/>
      <c r="AD109" s="4"/>
      <c r="AE109" s="4"/>
      <c r="AF109" s="4"/>
      <c r="AG109" s="4"/>
      <c r="AH109" s="4"/>
      <c r="AI109" s="4"/>
      <c r="AJ109" s="4"/>
      <c r="AK109" s="4"/>
    </row>
    <row r="110" spans="1:37" ht="22" customHeight="1">
      <c r="A110" s="6"/>
      <c r="C110" s="4"/>
      <c r="D110" s="4"/>
      <c r="E110" s="4"/>
      <c r="F110" s="4"/>
      <c r="G110" s="4"/>
      <c r="H110" s="4"/>
      <c r="I110" s="4"/>
      <c r="J110" s="4"/>
      <c r="K110" s="4"/>
      <c r="L110" s="4"/>
      <c r="M110" s="4"/>
      <c r="N110" s="4"/>
      <c r="O110" s="4"/>
      <c r="R110" s="4"/>
      <c r="S110" s="4"/>
      <c r="T110" s="4"/>
      <c r="U110" s="4"/>
      <c r="V110" s="4"/>
      <c r="W110" s="4"/>
      <c r="X110" s="4"/>
      <c r="Y110" s="4"/>
      <c r="Z110" s="4"/>
      <c r="AA110" s="4"/>
      <c r="AB110" s="4"/>
      <c r="AC110" s="4"/>
      <c r="AD110" s="4"/>
      <c r="AE110" s="4"/>
      <c r="AF110" s="4"/>
      <c r="AG110" s="4"/>
      <c r="AH110" s="4"/>
      <c r="AI110" s="4"/>
      <c r="AJ110" s="4"/>
      <c r="AK110" s="4"/>
    </row>
    <row r="111" spans="1:37" ht="22" customHeight="1">
      <c r="A111" s="6"/>
      <c r="C111" s="4"/>
      <c r="D111" s="4"/>
      <c r="E111" s="4"/>
      <c r="F111" s="4"/>
      <c r="G111" s="4"/>
      <c r="H111" s="4"/>
      <c r="I111" s="4"/>
      <c r="J111" s="4"/>
      <c r="K111" s="4"/>
      <c r="L111" s="4"/>
      <c r="M111" s="4"/>
      <c r="N111" s="4"/>
      <c r="O111" s="4"/>
      <c r="R111" s="4"/>
      <c r="S111" s="4"/>
      <c r="T111" s="4"/>
      <c r="U111" s="4"/>
      <c r="V111" s="4"/>
      <c r="W111" s="4"/>
      <c r="X111" s="4"/>
      <c r="Y111" s="4"/>
      <c r="Z111" s="4"/>
      <c r="AA111" s="4"/>
      <c r="AB111" s="4"/>
      <c r="AC111" s="4"/>
      <c r="AD111" s="4"/>
      <c r="AE111" s="4"/>
      <c r="AF111" s="4"/>
      <c r="AG111" s="4"/>
      <c r="AH111" s="4"/>
      <c r="AI111" s="4"/>
      <c r="AJ111" s="4"/>
      <c r="AK111" s="4"/>
    </row>
    <row r="112" spans="1:37" ht="22" customHeight="1">
      <c r="A112" s="4"/>
      <c r="B112" s="6"/>
      <c r="C112" s="6"/>
      <c r="D112" s="6"/>
      <c r="E112" s="6"/>
      <c r="F112" s="6"/>
      <c r="G112" s="6"/>
      <c r="H112" s="6"/>
      <c r="I112" s="6"/>
      <c r="J112" s="6"/>
      <c r="K112" s="6"/>
      <c r="L112" s="6"/>
      <c r="M112" s="6"/>
      <c r="N112" s="6"/>
      <c r="O112" s="6"/>
      <c r="P112" s="6"/>
      <c r="Q112" s="6"/>
      <c r="R112" s="6"/>
      <c r="S112" s="4"/>
      <c r="T112" s="4"/>
      <c r="U112" s="4"/>
      <c r="V112" s="4"/>
      <c r="W112" s="4"/>
      <c r="X112" s="4"/>
      <c r="Y112" s="4"/>
      <c r="Z112" s="4"/>
      <c r="AA112" s="4"/>
      <c r="AB112" s="4"/>
      <c r="AC112" s="4"/>
      <c r="AD112" s="4"/>
      <c r="AE112" s="4"/>
      <c r="AF112" s="4"/>
      <c r="AG112" s="4"/>
      <c r="AH112" s="4"/>
      <c r="AI112" s="4"/>
      <c r="AJ112" s="4"/>
      <c r="AK112" s="4"/>
    </row>
    <row r="113" spans="1:37" ht="22" customHeight="1">
      <c r="A113" s="4"/>
      <c r="B113" s="6"/>
      <c r="C113" s="6"/>
      <c r="D113" s="6"/>
      <c r="E113" s="6"/>
      <c r="F113" s="6"/>
      <c r="G113" s="6"/>
      <c r="H113" s="6"/>
      <c r="I113" s="6"/>
      <c r="J113" s="6"/>
      <c r="K113" s="6"/>
      <c r="L113" s="6"/>
      <c r="M113" s="6"/>
      <c r="N113" s="6"/>
      <c r="O113" s="6"/>
      <c r="P113" s="6"/>
      <c r="Q113" s="6"/>
      <c r="R113" s="6"/>
      <c r="S113" s="4"/>
      <c r="T113" s="4"/>
      <c r="U113" s="4"/>
      <c r="V113" s="4"/>
      <c r="W113" s="4"/>
      <c r="X113" s="4"/>
      <c r="Y113" s="4"/>
      <c r="Z113" s="4"/>
      <c r="AA113" s="4"/>
      <c r="AB113" s="4"/>
      <c r="AC113" s="4"/>
      <c r="AD113" s="4"/>
      <c r="AE113" s="4"/>
      <c r="AF113" s="4"/>
      <c r="AG113" s="4"/>
      <c r="AH113" s="4"/>
      <c r="AI113" s="4"/>
      <c r="AJ113" s="4"/>
      <c r="AK113" s="4"/>
    </row>
    <row r="114" spans="1:37" ht="22" customHeight="1">
      <c r="A114" s="4"/>
      <c r="C114" s="4"/>
      <c r="D114" s="4"/>
      <c r="E114" s="4"/>
      <c r="F114" s="4"/>
      <c r="G114" s="4"/>
      <c r="H114" s="4"/>
      <c r="I114" s="4"/>
      <c r="J114" s="4"/>
      <c r="K114" s="4"/>
      <c r="L114" s="4"/>
      <c r="M114" s="6"/>
      <c r="N114" s="6"/>
      <c r="O114" s="6"/>
      <c r="P114" s="6"/>
      <c r="Q114" s="6"/>
      <c r="R114" s="6"/>
      <c r="S114" s="4"/>
      <c r="T114" s="4"/>
      <c r="U114" s="4"/>
      <c r="V114" s="4"/>
      <c r="W114" s="4"/>
      <c r="X114" s="4"/>
      <c r="Y114" s="4"/>
      <c r="Z114" s="4"/>
      <c r="AA114" s="4"/>
      <c r="AB114" s="4"/>
      <c r="AC114" s="4"/>
      <c r="AD114" s="4"/>
      <c r="AE114" s="4"/>
      <c r="AF114" s="4"/>
      <c r="AG114" s="4"/>
      <c r="AH114" s="4"/>
      <c r="AI114" s="4"/>
      <c r="AJ114" s="4"/>
      <c r="AK114" s="4"/>
    </row>
    <row r="115" spans="1:37" ht="22" customHeight="1">
      <c r="A115" s="4"/>
      <c r="C115" s="4"/>
      <c r="D115" s="4"/>
      <c r="E115" s="4"/>
      <c r="F115" s="4"/>
      <c r="G115" s="4"/>
      <c r="H115" s="4"/>
      <c r="I115" s="4"/>
      <c r="J115" s="4"/>
      <c r="K115" s="4"/>
      <c r="L115" s="4"/>
      <c r="M115" s="6"/>
      <c r="N115" s="6"/>
      <c r="O115" s="6"/>
      <c r="P115" s="6"/>
      <c r="Q115" s="6"/>
      <c r="R115" s="6"/>
      <c r="S115" s="4"/>
      <c r="T115" s="4"/>
      <c r="U115" s="4"/>
      <c r="V115" s="4"/>
      <c r="W115" s="4"/>
      <c r="X115" s="4"/>
      <c r="Y115" s="4"/>
      <c r="Z115" s="4"/>
      <c r="AA115" s="4"/>
      <c r="AB115" s="4"/>
      <c r="AC115" s="4"/>
      <c r="AD115" s="4"/>
      <c r="AE115" s="4"/>
      <c r="AF115" s="4"/>
      <c r="AG115" s="4"/>
      <c r="AH115" s="4"/>
      <c r="AI115" s="4"/>
      <c r="AJ115" s="4"/>
      <c r="AK115" s="4"/>
    </row>
    <row r="116" spans="1:37" ht="22" customHeight="1">
      <c r="A116" s="4"/>
      <c r="C116" s="4"/>
      <c r="D116" s="4"/>
      <c r="E116" s="4"/>
      <c r="F116" s="4"/>
      <c r="G116" s="4"/>
      <c r="H116" s="4"/>
      <c r="I116" s="4"/>
      <c r="J116" s="4"/>
      <c r="K116" s="4"/>
      <c r="L116" s="4"/>
      <c r="M116" s="6"/>
      <c r="N116" s="6"/>
      <c r="O116" s="6"/>
      <c r="P116" s="6"/>
      <c r="Q116" s="6"/>
      <c r="R116" s="6"/>
      <c r="S116" s="4"/>
      <c r="T116" s="4"/>
      <c r="U116" s="4"/>
      <c r="V116" s="4"/>
      <c r="W116" s="4"/>
      <c r="X116" s="4"/>
      <c r="Y116" s="4"/>
      <c r="Z116" s="4"/>
      <c r="AA116" s="4"/>
      <c r="AB116" s="4"/>
      <c r="AC116" s="4"/>
      <c r="AD116" s="4"/>
      <c r="AE116" s="4"/>
      <c r="AF116" s="4"/>
      <c r="AG116" s="4"/>
      <c r="AH116" s="4"/>
      <c r="AI116" s="4"/>
      <c r="AJ116" s="4"/>
      <c r="AK116" s="4"/>
    </row>
    <row r="117" spans="1:37" ht="22" customHeight="1">
      <c r="A117" s="4"/>
      <c r="B117" s="6"/>
      <c r="C117" s="6"/>
      <c r="D117" s="6"/>
      <c r="E117" s="6"/>
      <c r="F117" s="6"/>
      <c r="G117" s="6"/>
      <c r="H117" s="6"/>
      <c r="I117" s="6"/>
      <c r="J117" s="6"/>
      <c r="K117" s="6"/>
      <c r="L117" s="6"/>
      <c r="M117" s="6"/>
      <c r="N117" s="6"/>
      <c r="O117" s="6"/>
      <c r="P117" s="6"/>
      <c r="Q117" s="6"/>
      <c r="R117" s="6"/>
      <c r="S117" s="4"/>
      <c r="T117" s="4"/>
      <c r="U117" s="4"/>
      <c r="V117" s="4"/>
      <c r="W117" s="4"/>
      <c r="X117" s="4"/>
      <c r="Y117" s="4"/>
      <c r="Z117" s="4"/>
      <c r="AA117" s="4"/>
      <c r="AB117" s="4"/>
      <c r="AC117" s="4"/>
      <c r="AD117" s="4"/>
      <c r="AE117" s="4"/>
      <c r="AF117" s="4"/>
      <c r="AG117" s="4"/>
      <c r="AH117" s="4"/>
      <c r="AI117" s="4"/>
      <c r="AJ117" s="4"/>
      <c r="AK117" s="4"/>
    </row>
    <row r="118" spans="1:37" ht="22" customHeight="1">
      <c r="A118" s="6"/>
      <c r="B118" s="6"/>
      <c r="C118" s="6"/>
      <c r="D118" s="6"/>
      <c r="E118" s="6"/>
      <c r="F118" s="6"/>
      <c r="G118" s="6"/>
      <c r="H118" s="6"/>
      <c r="I118" s="6"/>
      <c r="J118" s="6"/>
      <c r="K118" s="6"/>
      <c r="L118" s="6"/>
      <c r="M118" s="6"/>
      <c r="N118" s="6"/>
      <c r="O118" s="6"/>
      <c r="P118" s="6"/>
      <c r="Q118" s="6"/>
      <c r="R118" s="6"/>
      <c r="S118" s="4"/>
      <c r="T118" s="4"/>
      <c r="U118" s="4"/>
      <c r="V118" s="4"/>
      <c r="W118" s="4"/>
      <c r="X118" s="4"/>
      <c r="Y118" s="4"/>
      <c r="Z118" s="4"/>
      <c r="AA118" s="4"/>
      <c r="AB118" s="4"/>
      <c r="AC118" s="4"/>
      <c r="AD118" s="4"/>
      <c r="AE118" s="4"/>
      <c r="AF118" s="4"/>
      <c r="AG118" s="4"/>
      <c r="AH118" s="4"/>
      <c r="AI118" s="4"/>
      <c r="AJ118" s="4"/>
      <c r="AK118" s="4"/>
    </row>
    <row r="119" spans="1:37" ht="22" customHeight="1">
      <c r="A119" s="6"/>
      <c r="C119" s="4"/>
      <c r="D119" s="4"/>
      <c r="E119" s="4"/>
      <c r="F119" s="4"/>
      <c r="G119" s="4"/>
      <c r="H119" s="4"/>
      <c r="I119" s="4"/>
      <c r="J119" s="4"/>
      <c r="K119" s="4"/>
      <c r="L119" s="4"/>
      <c r="M119" s="4"/>
      <c r="N119" s="4"/>
      <c r="O119" s="4"/>
      <c r="R119" s="4"/>
      <c r="S119" s="6"/>
      <c r="T119" s="6"/>
      <c r="U119" s="4"/>
      <c r="V119" s="4"/>
      <c r="W119" s="6"/>
      <c r="X119" s="4"/>
      <c r="Y119" s="4"/>
      <c r="Z119" s="6"/>
      <c r="AA119" s="4"/>
      <c r="AB119" s="4"/>
      <c r="AC119" s="6"/>
      <c r="AD119" s="4"/>
      <c r="AE119" s="4"/>
      <c r="AF119" s="6"/>
      <c r="AG119" s="4"/>
      <c r="AH119" s="4"/>
      <c r="AI119" s="6"/>
      <c r="AJ119" s="4"/>
      <c r="AK119" s="4"/>
    </row>
    <row r="120" spans="1:37" ht="22" customHeight="1">
      <c r="A120" s="6"/>
      <c r="B120" s="6"/>
      <c r="C120" s="6"/>
      <c r="D120" s="6"/>
      <c r="E120" s="6"/>
      <c r="F120" s="6"/>
      <c r="G120" s="6"/>
      <c r="H120" s="6"/>
      <c r="I120" s="6"/>
      <c r="J120" s="6"/>
      <c r="K120" s="6"/>
      <c r="L120" s="6"/>
      <c r="M120" s="6"/>
      <c r="N120" s="6"/>
      <c r="O120" s="6"/>
      <c r="P120" s="6"/>
      <c r="Q120" s="6"/>
      <c r="R120" s="6"/>
      <c r="S120" s="6"/>
      <c r="T120" s="6"/>
      <c r="U120" s="4"/>
      <c r="V120" s="4"/>
      <c r="W120" s="6"/>
      <c r="X120" s="4"/>
      <c r="Y120" s="4"/>
      <c r="Z120" s="6"/>
      <c r="AA120" s="4"/>
      <c r="AB120" s="4"/>
      <c r="AC120" s="6"/>
      <c r="AD120" s="4"/>
      <c r="AE120" s="4"/>
      <c r="AF120" s="6"/>
      <c r="AG120" s="4"/>
      <c r="AH120" s="4"/>
      <c r="AI120" s="6"/>
      <c r="AJ120" s="4"/>
      <c r="AK120" s="4"/>
    </row>
    <row r="121" spans="1:37" ht="22" customHeight="1">
      <c r="A121" s="4"/>
      <c r="B121" s="6"/>
      <c r="C121" s="6"/>
      <c r="D121" s="6"/>
      <c r="E121" s="6"/>
      <c r="F121" s="6"/>
      <c r="G121" s="6"/>
      <c r="H121" s="6"/>
      <c r="I121" s="6"/>
      <c r="J121" s="6"/>
      <c r="K121" s="6"/>
      <c r="L121" s="6"/>
      <c r="M121" s="6"/>
      <c r="N121" s="6"/>
      <c r="O121" s="6"/>
      <c r="P121" s="6"/>
      <c r="Q121" s="6"/>
      <c r="R121" s="6"/>
      <c r="S121" s="6"/>
      <c r="T121" s="6"/>
      <c r="U121" s="4"/>
      <c r="V121" s="4"/>
      <c r="W121" s="6"/>
      <c r="X121" s="4"/>
      <c r="Y121" s="4"/>
      <c r="Z121" s="6"/>
      <c r="AA121" s="4"/>
      <c r="AB121" s="4"/>
      <c r="AC121" s="6"/>
      <c r="AD121" s="4"/>
      <c r="AE121" s="4"/>
      <c r="AF121" s="6"/>
      <c r="AG121" s="4"/>
      <c r="AH121" s="4"/>
      <c r="AI121" s="6"/>
      <c r="AJ121" s="4"/>
      <c r="AK121" s="4"/>
    </row>
    <row r="122" spans="1:37" ht="22" customHeight="1">
      <c r="A122" s="4"/>
      <c r="B122" s="6"/>
      <c r="C122" s="6"/>
      <c r="D122" s="6"/>
      <c r="E122" s="6"/>
      <c r="F122" s="6"/>
      <c r="G122" s="6"/>
      <c r="H122" s="6"/>
      <c r="I122" s="6"/>
      <c r="J122" s="6"/>
      <c r="K122" s="6"/>
      <c r="L122" s="6"/>
      <c r="M122" s="6"/>
      <c r="N122" s="6"/>
      <c r="O122" s="6"/>
      <c r="P122" s="6"/>
      <c r="Q122" s="6"/>
      <c r="R122" s="6"/>
      <c r="S122" s="4"/>
      <c r="T122" s="4"/>
      <c r="U122" s="4"/>
      <c r="V122" s="4"/>
      <c r="W122" s="4"/>
      <c r="X122" s="4"/>
      <c r="Y122" s="4"/>
      <c r="Z122" s="4"/>
      <c r="AA122" s="4"/>
      <c r="AB122" s="4"/>
      <c r="AC122" s="4"/>
      <c r="AD122" s="4"/>
      <c r="AE122" s="4"/>
      <c r="AF122" s="4"/>
      <c r="AG122" s="4"/>
      <c r="AH122" s="4"/>
      <c r="AI122" s="4"/>
      <c r="AJ122" s="4"/>
      <c r="AK122" s="4"/>
    </row>
    <row r="123" spans="1:37" ht="22" customHeight="1">
      <c r="A123" s="4"/>
      <c r="C123" s="4"/>
      <c r="D123" s="4"/>
      <c r="E123" s="4"/>
      <c r="F123" s="4"/>
      <c r="G123" s="4"/>
      <c r="H123" s="4"/>
      <c r="I123" s="4"/>
      <c r="J123" s="4"/>
      <c r="K123" s="4"/>
      <c r="L123" s="4"/>
      <c r="M123" s="4"/>
      <c r="N123" s="4"/>
      <c r="O123" s="4"/>
      <c r="R123" s="4"/>
      <c r="S123" s="4"/>
      <c r="T123" s="4"/>
      <c r="U123" s="4"/>
      <c r="V123" s="4"/>
      <c r="W123" s="4"/>
      <c r="X123" s="4"/>
      <c r="Y123" s="4"/>
      <c r="Z123" s="4"/>
      <c r="AA123" s="4"/>
      <c r="AB123" s="4"/>
      <c r="AC123" s="4"/>
      <c r="AD123" s="4"/>
      <c r="AE123" s="4"/>
      <c r="AF123" s="4"/>
      <c r="AG123" s="4"/>
      <c r="AH123" s="4"/>
      <c r="AI123" s="4"/>
      <c r="AJ123" s="4"/>
      <c r="AK123" s="4"/>
    </row>
    <row r="124" spans="1:37" ht="22" customHeight="1">
      <c r="A124" s="4"/>
      <c r="C124" s="4"/>
      <c r="D124" s="4"/>
      <c r="E124" s="4"/>
      <c r="F124" s="4"/>
      <c r="G124" s="4"/>
      <c r="H124" s="4"/>
      <c r="I124" s="4"/>
      <c r="J124" s="4"/>
      <c r="K124" s="4"/>
      <c r="L124" s="4"/>
      <c r="M124" s="4"/>
      <c r="N124" s="4"/>
      <c r="O124" s="4"/>
      <c r="R124" s="4"/>
      <c r="S124" s="4"/>
      <c r="T124" s="4"/>
      <c r="U124" s="4"/>
      <c r="V124" s="4"/>
      <c r="W124" s="4"/>
      <c r="X124" s="4"/>
      <c r="Y124" s="4"/>
      <c r="Z124" s="4"/>
      <c r="AA124" s="4"/>
      <c r="AB124" s="4"/>
      <c r="AC124" s="4"/>
      <c r="AD124" s="4"/>
      <c r="AE124" s="4"/>
      <c r="AF124" s="4"/>
      <c r="AG124" s="4"/>
      <c r="AH124" s="4"/>
      <c r="AI124" s="4"/>
      <c r="AJ124" s="4"/>
      <c r="AK124" s="4"/>
    </row>
    <row r="125" spans="1:37" ht="22" customHeight="1">
      <c r="A125" s="4"/>
      <c r="C125" s="4"/>
      <c r="D125" s="4"/>
      <c r="E125" s="4"/>
      <c r="F125" s="4"/>
      <c r="G125" s="4"/>
      <c r="H125" s="4"/>
      <c r="I125" s="4"/>
      <c r="J125" s="4"/>
      <c r="K125" s="4"/>
      <c r="L125" s="4"/>
      <c r="M125" s="4"/>
      <c r="N125" s="4"/>
      <c r="O125" s="4"/>
      <c r="R125" s="4"/>
      <c r="S125" s="4"/>
      <c r="T125" s="4"/>
      <c r="U125" s="4"/>
      <c r="V125" s="4"/>
      <c r="W125" s="4"/>
      <c r="X125" s="4"/>
      <c r="Y125" s="4"/>
      <c r="Z125" s="4"/>
      <c r="AA125" s="4"/>
      <c r="AB125" s="4"/>
      <c r="AC125" s="4"/>
      <c r="AD125" s="4"/>
      <c r="AE125" s="4"/>
      <c r="AF125" s="4"/>
      <c r="AG125" s="4"/>
      <c r="AH125" s="4"/>
      <c r="AI125" s="4"/>
      <c r="AJ125" s="4"/>
      <c r="AK125" s="4"/>
    </row>
    <row r="126" spans="1:37" ht="22" customHeight="1">
      <c r="C126" s="4"/>
      <c r="D126" s="4"/>
      <c r="E126" s="4"/>
      <c r="F126" s="4"/>
      <c r="G126" s="4"/>
      <c r="H126" s="4"/>
      <c r="I126" s="4"/>
      <c r="J126" s="4"/>
      <c r="K126" s="4"/>
      <c r="L126" s="4"/>
      <c r="M126" s="4"/>
      <c r="N126" s="4"/>
      <c r="O126" s="4"/>
      <c r="R126" s="4"/>
    </row>
    <row r="127" spans="1:37" ht="22" customHeight="1">
      <c r="C127" s="4"/>
      <c r="D127" s="4"/>
      <c r="E127" s="4"/>
      <c r="F127" s="4"/>
      <c r="G127" s="4"/>
      <c r="H127" s="4"/>
      <c r="I127" s="4"/>
      <c r="J127" s="4"/>
      <c r="K127" s="4"/>
      <c r="L127" s="4"/>
      <c r="M127" s="4"/>
      <c r="N127" s="4"/>
      <c r="O127" s="4"/>
      <c r="R127" s="4"/>
    </row>
    <row r="128" spans="1:37" ht="22" customHeight="1">
      <c r="C128" s="4"/>
      <c r="D128" s="4"/>
      <c r="E128" s="4"/>
      <c r="F128" s="4"/>
      <c r="G128" s="4"/>
      <c r="H128" s="4"/>
      <c r="I128" s="4"/>
      <c r="J128" s="4"/>
      <c r="K128" s="4"/>
      <c r="L128" s="4"/>
      <c r="M128" s="4"/>
      <c r="N128" s="4"/>
      <c r="O128" s="4"/>
      <c r="R128" s="4"/>
    </row>
  </sheetData>
  <mergeCells count="1">
    <mergeCell ref="B2:P2"/>
  </mergeCells>
  <dataValidations count="1">
    <dataValidation allowBlank="1" showInputMessage="1" showErrorMessage="1" prompt="Manage your personal budget using this spreadsheet. Enter your income and expenses details in the tables below. Totals for each table are auto calculated. Summary for income vs total expenses starts at row 105._x000a_" sqref="A1" xr:uid="{40430C73-D30A-2643-A048-D70D703DC3C4}"/>
  </dataValidations>
  <pageMargins left="0.7" right="0.7" top="0.75" bottom="0.75" header="0.3" footer="0.3"/>
  <pageSetup paperSize="9" orientation="portrait" horizontalDpi="0" verticalDpi="0"/>
  <tableParts count="5">
    <tablePart r:id="rId1"/>
    <tablePart r:id="rId2"/>
    <tablePart r:id="rId3"/>
    <tablePart r:id="rId4"/>
    <tablePart r:id="rId5"/>
  </tableParts>
  <extLst>
    <ext xmlns:x14="http://schemas.microsoft.com/office/spreadsheetml/2009/9/main" uri="{05C60535-1F16-4fd2-B633-F4F36F0B64E0}">
      <x14:sparklineGroups xmlns:xm="http://schemas.microsoft.com/office/excel/2006/main">
        <x14:sparklineGroup displayEmptyCellsAs="gap" high="1" low="1" xr2:uid="{A51D215C-6A0C-D443-9A45-6910023EF5F6}">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Sheet1!C6:N6</xm:f>
              <xm:sqref>R6</xm:sqref>
            </x14:sparkline>
            <x14:sparkline>
              <xm:f>Sheet1!C7:N7</xm:f>
              <xm:sqref>R7</xm:sqref>
            </x14:sparkline>
            <x14:sparkline>
              <xm:f>Sheet1!C8:N8</xm:f>
              <xm:sqref>R8</xm:sqref>
            </x14:sparkline>
            <x14:sparkline>
              <xm:f>Sheet1!C9:N9</xm:f>
              <xm:sqref>R9</xm:sqref>
            </x14:sparkline>
          </x14:sparklines>
        </x14:sparklineGroup>
        <x14:sparklineGroup displayEmptyCellsAs="gap" high="1" low="1" xr2:uid="{382C768D-DF9D-8946-BAD3-24209AB6679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Sheet1!C12:N12</xm:f>
              <xm:sqref>R12</xm:sqref>
            </x14:sparkline>
            <x14:sparkline>
              <xm:f>Sheet1!C13:N13</xm:f>
              <xm:sqref>R13</xm:sqref>
            </x14:sparkline>
            <x14:sparkline>
              <xm:f>Sheet1!C14:N14</xm:f>
              <xm:sqref>R14</xm:sqref>
            </x14:sparkline>
            <x14:sparkline>
              <xm:f>Sheet1!C15:N15</xm:f>
              <xm:sqref>R15</xm:sqref>
            </x14:sparkline>
            <x14:sparkline>
              <xm:f>Sheet1!C16:N16</xm:f>
              <xm:sqref>R16</xm:sqref>
            </x14:sparkline>
            <x14:sparkline>
              <xm:f>Sheet1!C17:N17</xm:f>
              <xm:sqref>R17</xm:sqref>
            </x14:sparkline>
            <x14:sparkline>
              <xm:f>Sheet1!C18:N18</xm:f>
              <xm:sqref>R18</xm:sqref>
            </x14:sparkline>
            <x14:sparkline>
              <xm:f>Sheet1!C19:N19</xm:f>
              <xm:sqref>R19</xm:sqref>
            </x14:sparkline>
            <x14:sparkline>
              <xm:f>Sheet1!C20:N20</xm:f>
              <xm:sqref>R20</xm:sqref>
            </x14:sparkline>
          </x14:sparklines>
        </x14:sparklineGroup>
        <x14:sparklineGroup displayEmptyCellsAs="gap" high="1" low="1" xr2:uid="{91D187D6-5323-544B-B7BE-ABB6200C5BA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Sheet1!C33:N33</xm:f>
              <xm:sqref>R33</xm:sqref>
            </x14:sparkline>
          </x14:sparklines>
        </x14:sparklineGroup>
        <x14:sparklineGroup displayEmptyCellsAs="gap" high="1" low="1" xr2:uid="{E5835441-2CEF-4A46-B3DA-A71702CCB74C}">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Sheet1!C36:N36</xm:f>
              <xm:sqref>R36</xm:sqref>
            </x14:sparkline>
            <x14:sparkline>
              <xm:f>Sheet1!C37:N37</xm:f>
              <xm:sqref>R37</xm:sqref>
            </x14:sparkline>
          </x14:sparklines>
        </x14:sparklineGroup>
        <x14:sparklineGroup displayEmptyCellsAs="gap" high="1" low="1" xr2:uid="{FF1C903F-F0E8-1A43-9808-1F23116B115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Sheet1!C23:N23</xm:f>
              <xm:sqref>R23</xm:sqref>
            </x14:sparkline>
            <x14:sparkline>
              <xm:f>Sheet1!C24:N24</xm:f>
              <xm:sqref>R24</xm:sqref>
            </x14:sparkline>
            <x14:sparkline>
              <xm:f>Sheet1!C25:N25</xm:f>
              <xm:sqref>R25</xm:sqref>
            </x14:sparkline>
            <x14:sparkline>
              <xm:f>Sheet1!C26:N26</xm:f>
              <xm:sqref>R26</xm:sqref>
            </x14:sparkline>
            <x14:sparkline>
              <xm:f>Sheet1!C27:N27</xm:f>
              <xm:sqref>R27</xm:sqref>
            </x14:sparkline>
            <x14:sparkline>
              <xm:f>Sheet1!C28:N28</xm:f>
              <xm:sqref>R28</xm:sqref>
            </x14:sparkline>
            <x14:sparkline>
              <xm:f>Sheet1!C29:N29</xm:f>
              <xm:sqref>R29</xm:sqref>
            </x14:sparkline>
            <x14:sparkline>
              <xm:f>Sheet1!C30:N30</xm:f>
              <xm:sqref>R30</xm:sqref>
            </x14:sparkline>
            <x14:sparkline>
              <xm:f>Sheet1!C31:N31</xm:f>
              <xm:sqref>R31</xm:sqref>
            </x14:sparkline>
            <x14:sparkline>
              <xm:f>Sheet1!C32:N32</xm:f>
              <xm:sqref>R32</xm:sqref>
            </x14:sparkline>
          </x14:sparklines>
        </x14:sparklineGroup>
        <x14:sparklineGroup displayEmptyCellsAs="gap" markers="1" high="1" low="1" xr2:uid="{3489094E-86F0-554F-8EA5-9E9DAEA9CAA8}">
          <x14:colorSeries theme="0"/>
          <x14:colorNegative theme="6"/>
          <x14:colorAxis rgb="FF000000"/>
          <x14:colorMarkers theme="0"/>
          <x14:colorFirst theme="5" tint="0.39997558519241921"/>
          <x14:colorLast theme="5" tint="0.39997558519241921"/>
          <x14:colorHigh theme="5"/>
          <x14:colorLow theme="5"/>
          <x14:sparklines>
            <x14:sparkline>
              <xm:f>Sheet1!C40:N40</xm:f>
              <xm:sqref>R40</xm:sqref>
            </x14:sparkline>
            <x14:sparkline>
              <xm:f>Sheet1!C41:N41</xm:f>
              <xm:sqref>R41</xm:sqref>
            </x14:sparkline>
            <x14:sparkline>
              <xm:f>Sheet1!C42:N42</xm:f>
              <xm:sqref>R42</xm:sqref>
            </x14:sparkline>
            <x14:sparkline>
              <xm:f>Sheet1!C43:N43</xm:f>
              <xm:sqref>R43</xm:sqref>
            </x14:sparkline>
            <x14:sparkline>
              <xm:f>Sheet1!C44:N44</xm:f>
              <xm:sqref>R44</xm:sqref>
            </x14:sparkline>
          </x14:sparklines>
        </x14:sparklineGroup>
        <x14:sparklineGroup displayEmptyCellsAs="gap" high="1" low="1" xr2:uid="{684D059B-A148-7B4D-9E6A-6A758AEBB88C}">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Sheet1!C21:N21</xm:f>
              <xm:sqref>R21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9016F9-7015-43E2-8C51-8C9B031A291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61C4CF09-E16C-491E-896B-59FA5BAACD58}">
  <ds:schemaRefs>
    <ds:schemaRef ds:uri="http://schemas.microsoft.com/sharepoint/v3/contenttype/forms"/>
  </ds:schemaRefs>
</ds:datastoreItem>
</file>

<file path=customXml/itemProps3.xml><?xml version="1.0" encoding="utf-8"?>
<ds:datastoreItem xmlns:ds="http://schemas.openxmlformats.org/officeDocument/2006/customXml" ds:itemID="{C5AF2BFB-A3F6-42EF-82A3-18ADC5F181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TM04035483</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Taulo Pedersen</cp:lastModifiedBy>
  <cp:revision/>
  <dcterms:created xsi:type="dcterms:W3CDTF">2023-08-15T09:07:42Z</dcterms:created>
  <dcterms:modified xsi:type="dcterms:W3CDTF">2026-09-08T13:54:25Z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